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fe2d59843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V3" sheetId="1" r:id="R88edde3fef2c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"/>
    <x:numFmt numFmtId="201" formatCode="dd/mm/yyyy"/>
    <x:numFmt numFmtId="202" formatCode="0"/>
  </x:numFmts>
  <x:fonts count="5">
    <x:font>
      <x:sz val="11"/>
      <x:name val="Carlito"/>
    </x:font>
    <x:font>
      <x:sz val="10"/>
      <x:color rgb="FF1C2939"/>
      <x:name val="Arial"/>
    </x:font>
    <x:font>
      <x:b/>
      <x:sz val="16"/>
      <x:color rgb="FF203A5A"/>
      <x:name val="Arial"/>
    </x:font>
    <x:font>
      <x:b/>
      <x:sz val="10"/>
      <x:color rgb="FFFFFFFF"/>
      <x:name val="Arial"/>
    </x:font>
    <x:font>
      <x:b/>
      <x:sz val="10"/>
      <x:color rgb="FF1C29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A5A"/>
      </x:patternFill>
    </x:fill>
    <x:fill>
      <x:patternFill patternType="solid">
        <x:fgColor rgb="FFEAF0F7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203A5A"/>
      </x:font>
      <x:fill>
        <x:patternFill patternType="solid">
          <x:bgColor rgb="FFBBD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3b3b9b0f24a4c" /><Relationship Type="http://schemas.openxmlformats.org/officeDocument/2006/relationships/theme" Target="/xl/theme/theme1.xml" Id="R4a8b11724ce049b2" /><Relationship Type="http://schemas.openxmlformats.org/officeDocument/2006/relationships/sharedStrings" Target="/xl/sharedStrings.xml" Id="R1370d0ce0d674d78" /><Relationship Type="http://schemas.openxmlformats.org/officeDocument/2006/relationships/worksheet" Target="/xl/worksheets/sheet1.xml" Id="R88edde3fef2c46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A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44" hidden="0" customWidth="1"/>
    <x:col min="3" max="3" width="20" hidden="0" customWidth="1"/>
    <x:col min="4" max="4" width="22" hidden="0" customWidth="1"/>
    <x:col min="5" max="5" width="14" hidden="0" customWidth="1"/>
    <x:col min="6" max="6" width="11" hidden="0" customWidth="1"/>
    <x:col min="7" max="7" width="14" hidden="0" customWidth="1"/>
    <x:col min="8" max="8" width="11" hidden="0" customWidth="1"/>
    <x:col min="9" max="9" width="11" hidden="0" customWidth="1"/>
    <x:col min="10" max="10" width="22" hidden="0" customWidth="1"/>
    <x:col min="11" max="11" width="25" hidden="0" customWidth="1"/>
    <x:col min="12" max="12" width="50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>
      <x:c r="A2" s="3" t="str">
        <x:v>GeoCattle — Carta Gantt V3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>
      <x:c r="A3" s="2" t="str">
        <x:v>Corte: 21/10/2026. Plan de revisión y aceptación: 21/10/2026–12/01/2027.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>
      <x:c r="A4" s="2" t="str">
        <x:v>Fechas y esfuerzo estimados. Las tareas de campo dependen de equipos, clima y acceso al predio.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>
      <x:c r="A5" s="2" t="str">
        <x:v>Ámbar: inicio, duración, h/día y estado editables. Fin, esfuerzo y barras se recalculan.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36" customHeight="1">
      <x:c r="A6" s="7" t="str">
        <x:v>ID</x:v>
      </x:c>
      <x:c r="B6" s="7" t="str">
        <x:v>Tarea</x:v>
      </x:c>
      <x:c r="C6" s="7" t="str">
        <x:v>Responsable propuesto</x:v>
      </x:c>
      <x:c r="D6" s="7" t="str">
        <x:v>Predecesoras</x:v>
      </x:c>
      <x:c r="E6" s="7" t="str">
        <x:v>Inicio</x:v>
      </x:c>
      <x:c r="F6" s="7" t="str">
        <x:v>Días hábiles</x:v>
      </x:c>
      <x:c r="G6" s="7" t="str">
        <x:v>Fin</x:v>
      </x:c>
      <x:c r="H6" s="7" t="str">
        <x:v>h/día</x:v>
      </x:c>
      <x:c r="I6" s="7" t="str">
        <x:v>Esfuerzo (h)</x:v>
      </x:c>
      <x:c r="J6" s="7" t="str">
        <x:v>Estado al corte</x:v>
      </x:c>
      <x:c r="K6" s="7" t="str">
        <x:v>Trazabilidad</x:v>
      </x:c>
      <x:c r="L6" s="7" t="str">
        <x:v>Criterio de cierre</x:v>
      </x:c>
      <x:c r="M6" s="7" t="str">
        <x:v>S1</x:v>
      </x:c>
      <x:c r="N6" s="7" t="str">
        <x:v>S2</x:v>
      </x:c>
      <x:c r="O6" s="7" t="str">
        <x:v>S3</x:v>
      </x:c>
      <x:c r="P6" s="7" t="str">
        <x:v>S4</x:v>
      </x:c>
      <x:c r="Q6" s="7" t="str">
        <x:v>S5</x:v>
      </x:c>
      <x:c r="R6" s="7" t="str">
        <x:v>S6</x:v>
      </x:c>
      <x:c r="S6" s="7" t="str">
        <x:v>S7</x:v>
      </x:c>
      <x:c r="T6" s="7" t="str">
        <x:v>S8</x:v>
      </x:c>
      <x:c r="U6" s="7" t="str">
        <x:v>S9</x:v>
      </x:c>
      <x:c r="V6" s="7" t="str">
        <x:v>S10</x:v>
      </x:c>
      <x:c r="W6" s="7" t="str">
        <x:v>S11</x:v>
      </x:c>
      <x:c r="X6" s="7" t="str">
        <x:v>S12</x:v>
      </x:c>
      <x:c r="Y6" s="7" t="str">
        <x:v>S13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11" t="d">
        <x:v>2026-10-19T12:00:00.000Z</x:v>
      </x:c>
      <x:c r="N7" s="11" t="d">
        <x:v>2026-10-26T12:00:00.000Z</x:v>
      </x:c>
      <x:c r="O7" s="11" t="d">
        <x:v>2026-11-02T12:00:00.000Z</x:v>
      </x:c>
      <x:c r="P7" s="11" t="d">
        <x:v>2026-11-09T12:00:00.000Z</x:v>
      </x:c>
      <x:c r="Q7" s="11" t="d">
        <x:v>2026-11-16T12:00:00.000Z</x:v>
      </x:c>
      <x:c r="R7" s="11" t="d">
        <x:v>2026-11-23T12:00:00.000Z</x:v>
      </x:c>
      <x:c r="S7" s="11" t="d">
        <x:v>2026-11-30T12:00:00.000Z</x:v>
      </x:c>
      <x:c r="T7" s="11" t="d">
        <x:v>2026-12-07T12:00:00.000Z</x:v>
      </x:c>
      <x:c r="U7" s="11" t="d">
        <x:v>2026-12-14T12:00:00.000Z</x:v>
      </x:c>
      <x:c r="V7" s="11" t="d">
        <x:v>2026-12-21T12:00:00.000Z</x:v>
      </x:c>
      <x:c r="W7" s="11" t="d">
        <x:v>2026-12-28T12:00:00.000Z</x:v>
      </x:c>
      <x:c r="X7" s="11" t="d">
        <x:v>2027-01-04T12:00:00.000Z</x:v>
      </x:c>
      <x:c r="Y7" s="11" t="d">
        <x:v>2027-01-11T12:00:00.000Z</x:v>
      </x:c>
    </x:row>
    <x:row r="8" ht="42" customHeight="1">
      <x:c r="A8" s="2" t="str">
        <x:v>P01</x:v>
      </x:c>
      <x:c r="B8" s="14" t="str">
        <x:v>Consolidar alcance V3 y trazabilidad</x:v>
      </x:c>
      <x:c r="C8" s="14" t="str">
        <x:v>Fabián</x:v>
      </x:c>
      <x:c r="D8" s="14" t="str"/>
      <x:c r="E8" s="15" t="d">
        <x:v>2026-10-21T12:00:00.000Z</x:v>
      </x:c>
      <x:c r="F8" s="16" t="n">
        <x:v>1</x:v>
      </x:c>
      <x:c r="G8" s="12" t="n">
        <x:f>WORKDAY(E8,F8-1,$B$38:$B$40)</x:f>
        <x:v>46316</x:v>
      </x:c>
      <x:c r="H8" s="16" t="n">
        <x:v>2</x:v>
      </x:c>
      <x:c r="I8" s="13" t="n">
        <x:f>F8*H8</x:f>
        <x:v>2</x:v>
      </x:c>
      <x:c r="J8" s="17" t="str">
        <x:v>Documentado</x:v>
      </x:c>
      <x:c r="K8" s="14" t="str">
        <x:v>CU-01 a CU-29</x:v>
      </x:c>
      <x:c r="L8" s="14" t="str">
        <x:v>44 RF, 22 RNF y diagramas consistentes</x:v>
      </x:c>
      <x:c r="M8" s="19" t="str">
        <x:f>IF(AND($E8&lt;=M$7+6,$G8&gt;=M$7),"x","")</x:f>
        <x:v>x</x:v>
      </x:c>
      <x:c r="N8" s="19" t="str">
        <x:f>IF(AND($E8&lt;=N$7+6,$G8&gt;=N$7),"x","")</x:f>
      </x:c>
      <x:c r="O8" s="19" t="str">
        <x:f>IF(AND($E8&lt;=O$7+6,$G8&gt;=O$7),"x","")</x:f>
      </x:c>
      <x:c r="P8" s="19" t="str">
        <x:f>IF(AND($E8&lt;=P$7+6,$G8&gt;=P$7),"x","")</x:f>
      </x:c>
      <x:c r="Q8" s="19" t="str">
        <x:f>IF(AND($E8&lt;=Q$7+6,$G8&gt;=Q$7),"x","")</x:f>
      </x:c>
      <x:c r="R8" s="19" t="str">
        <x:f>IF(AND($E8&lt;=R$7+6,$G8&gt;=R$7),"x","")</x:f>
      </x:c>
      <x:c r="S8" s="19" t="str">
        <x:f>IF(AND($E8&lt;=S$7+6,$G8&gt;=S$7),"x","")</x:f>
      </x:c>
      <x:c r="T8" s="19" t="str">
        <x:f>IF(AND($E8&lt;=T$7+6,$G8&gt;=T$7),"x","")</x:f>
      </x:c>
      <x:c r="U8" s="19" t="str">
        <x:f>IF(AND($E8&lt;=U$7+6,$G8&gt;=U$7),"x","")</x:f>
      </x:c>
      <x:c r="V8" s="19" t="str">
        <x:f>IF(AND($E8&lt;=V$7+6,$G8&gt;=V$7),"x","")</x:f>
      </x:c>
      <x:c r="W8" s="19" t="str">
        <x:f>IF(AND($E8&lt;=W$7+6,$G8&gt;=W$7),"x","")</x:f>
      </x:c>
      <x:c r="X8" s="19" t="str">
        <x:f>IF(AND($E8&lt;=X$7+6,$G8&gt;=X$7),"x","")</x:f>
      </x:c>
      <x:c r="Y8" s="19" t="str">
        <x:f>IF(AND($E8&lt;=Y$7+6,$G8&gt;=Y$7),"x","")</x:f>
      </x:c>
    </x:row>
    <x:row r="9" ht="42" customHeight="1">
      <x:c r="A9" s="2" t="str">
        <x:v>P02</x:v>
      </x:c>
      <x:c r="B9" s="14" t="str">
        <x:v>Integrar migración aditiva y API V3</x:v>
      </x:c>
      <x:c r="C9" s="14" t="str">
        <x:v>Fabián</x:v>
      </x:c>
      <x:c r="D9" s="14" t="str"/>
      <x:c r="E9" s="15" t="d">
        <x:v>2026-10-21T12:00:00.000Z</x:v>
      </x:c>
      <x:c r="F9" s="16" t="n">
        <x:v>1</x:v>
      </x:c>
      <x:c r="G9" s="12" t="n">
        <x:f>WORKDAY(E9,F9-1,$B$38:$B$40)</x:f>
        <x:v>46316</x:v>
      </x:c>
      <x:c r="H9" s="16" t="n">
        <x:v>4</x:v>
      </x:c>
      <x:c r="I9" s="13" t="n">
        <x:f>F9*H9</x:f>
        <x:v>4</x:v>
      </x:c>
      <x:c r="J9" s="17" t="str">
        <x:v>Integrado local</x:v>
      </x:c>
      <x:c r="K9" s="14" t="str">
        <x:v>RF-01 a RF-44</x:v>
      </x:c>
      <x:c r="L9" s="14" t="str">
        <x:v>Código y migración preservan datos V1</x:v>
      </x:c>
      <x:c r="M9" s="19" t="str">
        <x:f>IF(AND($E9&lt;=M$7+6,$G9&gt;=M$7),"x","")</x:f>
        <x:v>x</x:v>
      </x:c>
      <x:c r="N9" s="19" t="str">
        <x:f>IF(AND($E9&lt;=N$7+6,$G9&gt;=N$7),"x","")</x:f>
      </x:c>
      <x:c r="O9" s="19" t="str">
        <x:f>IF(AND($E9&lt;=O$7+6,$G9&gt;=O$7),"x","")</x:f>
      </x:c>
      <x:c r="P9" s="19" t="str">
        <x:f>IF(AND($E9&lt;=P$7+6,$G9&gt;=P$7),"x","")</x:f>
      </x:c>
      <x:c r="Q9" s="19" t="str">
        <x:f>IF(AND($E9&lt;=Q$7+6,$G9&gt;=Q$7),"x","")</x:f>
      </x:c>
      <x:c r="R9" s="19" t="str">
        <x:f>IF(AND($E9&lt;=R$7+6,$G9&gt;=R$7),"x","")</x:f>
      </x:c>
      <x:c r="S9" s="19" t="str">
        <x:f>IF(AND($E9&lt;=S$7+6,$G9&gt;=S$7),"x","")</x:f>
      </x:c>
      <x:c r="T9" s="19" t="str">
        <x:f>IF(AND($E9&lt;=T$7+6,$G9&gt;=T$7),"x","")</x:f>
      </x:c>
      <x:c r="U9" s="19" t="str">
        <x:f>IF(AND($E9&lt;=U$7+6,$G9&gt;=U$7),"x","")</x:f>
      </x:c>
      <x:c r="V9" s="19" t="str">
        <x:f>IF(AND($E9&lt;=V$7+6,$G9&gt;=V$7),"x","")</x:f>
      </x:c>
      <x:c r="W9" s="19" t="str">
        <x:f>IF(AND($E9&lt;=W$7+6,$G9&gt;=W$7),"x","")</x:f>
      </x:c>
      <x:c r="X9" s="19" t="str">
        <x:f>IF(AND($E9&lt;=X$7+6,$G9&gt;=X$7),"x","")</x:f>
      </x:c>
      <x:c r="Y9" s="19" t="str">
        <x:f>IF(AND($E9&lt;=Y$7+6,$G9&gt;=Y$7),"x","")</x:f>
      </x:c>
    </x:row>
    <x:row r="10" ht="42" customHeight="1">
      <x:c r="A10" s="2" t="str">
        <x:v>P03</x:v>
      </x:c>
      <x:c r="B10" s="14" t="str">
        <x:v>Integrar los cuatro paneles web</x:v>
      </x:c>
      <x:c r="C10" s="14" t="str">
        <x:v>Boris</x:v>
      </x:c>
      <x:c r="D10" s="14" t="str"/>
      <x:c r="E10" s="15" t="d">
        <x:v>2026-10-21T12:00:00.000Z</x:v>
      </x:c>
      <x:c r="F10" s="16" t="n">
        <x:v>1</x:v>
      </x:c>
      <x:c r="G10" s="12" t="n">
        <x:f>WORKDAY(E10,F10-1,$B$38:$B$40)</x:f>
        <x:v>46316</x:v>
      </x:c>
      <x:c r="H10" s="16" t="n">
        <x:v>4</x:v>
      </x:c>
      <x:c r="I10" s="13" t="n">
        <x:f>F10*H10</x:f>
        <x:v>4</x:v>
      </x:c>
      <x:c r="J10" s="17" t="str">
        <x:v>Integrado local</x:v>
      </x:c>
      <x:c r="K10" s="14" t="str">
        <x:v>CU-03 a CU-25</x:v>
      </x:c>
      <x:c r="L10" s="14" t="str">
        <x:v>Pantallas conectadas a API según perfil</x:v>
      </x:c>
      <x:c r="M10" s="19" t="str">
        <x:f>IF(AND($E10&lt;=M$7+6,$G10&gt;=M$7),"x","")</x:f>
        <x:v>x</x:v>
      </x:c>
      <x:c r="N10" s="19" t="str">
        <x:f>IF(AND($E10&lt;=N$7+6,$G10&gt;=N$7),"x","")</x:f>
      </x:c>
      <x:c r="O10" s="19" t="str">
        <x:f>IF(AND($E10&lt;=O$7+6,$G10&gt;=O$7),"x","")</x:f>
      </x:c>
      <x:c r="P10" s="19" t="str">
        <x:f>IF(AND($E10&lt;=P$7+6,$G10&gt;=P$7),"x","")</x:f>
      </x:c>
      <x:c r="Q10" s="19" t="str">
        <x:f>IF(AND($E10&lt;=Q$7+6,$G10&gt;=Q$7),"x","")</x:f>
      </x:c>
      <x:c r="R10" s="19" t="str">
        <x:f>IF(AND($E10&lt;=R$7+6,$G10&gt;=R$7),"x","")</x:f>
      </x:c>
      <x:c r="S10" s="19" t="str">
        <x:f>IF(AND($E10&lt;=S$7+6,$G10&gt;=S$7),"x","")</x:f>
      </x:c>
      <x:c r="T10" s="19" t="str">
        <x:f>IF(AND($E10&lt;=T$7+6,$G10&gt;=T$7),"x","")</x:f>
      </x:c>
      <x:c r="U10" s="19" t="str">
        <x:f>IF(AND($E10&lt;=U$7+6,$G10&gt;=U$7),"x","")</x:f>
      </x:c>
      <x:c r="V10" s="19" t="str">
        <x:f>IF(AND($E10&lt;=V$7+6,$G10&gt;=V$7),"x","")</x:f>
      </x:c>
      <x:c r="W10" s="19" t="str">
        <x:f>IF(AND($E10&lt;=W$7+6,$G10&gt;=W$7),"x","")</x:f>
      </x:c>
      <x:c r="X10" s="19" t="str">
        <x:f>IF(AND($E10&lt;=X$7+6,$G10&gt;=X$7),"x","")</x:f>
      </x:c>
      <x:c r="Y10" s="19" t="str">
        <x:f>IF(AND($E10&lt;=Y$7+6,$G10&gt;=Y$7),"x","")</x:f>
      </x:c>
    </x:row>
    <x:row r="11" ht="42" customHeight="1">
      <x:c r="A11" s="2" t="str">
        <x:v>P04</x:v>
      </x:c>
      <x:c r="B11" s="14" t="str">
        <x:v>Revisar contrato API y alcance por predio</x:v>
      </x:c>
      <x:c r="C11" s="14" t="str">
        <x:v>Fabián</x:v>
      </x:c>
      <x:c r="D11" s="14" t="str">
        <x:v>P01, P02</x:v>
      </x:c>
      <x:c r="E11" s="15" t="d">
        <x:v>2026-10-22T12:00:00.000Z</x:v>
      </x:c>
      <x:c r="F11" s="16" t="n">
        <x:v>2</x:v>
      </x:c>
      <x:c r="G11" s="12" t="n">
        <x:f>WORKDAY(E11,F11-1,$B$38:$B$40)</x:f>
        <x:v>46318</x:v>
      </x:c>
      <x:c r="H11" s="16" t="n">
        <x:v>4</x:v>
      </x:c>
      <x:c r="I11" s="13" t="n">
        <x:f>F11*H11</x:f>
        <x:v>8</x:v>
      </x:c>
      <x:c r="J11" s="17" t="str">
        <x:v>Planificado</x:v>
      </x:c>
      <x:c r="K11" s="14" t="str">
        <x:v>RF-01,RF-42</x:v>
      </x:c>
      <x:c r="L11" s="14" t="str">
        <x:v>Denegar IDs ajenos y conservar contexto</x:v>
      </x:c>
      <x:c r="M11" s="19" t="str">
        <x:f>IF(AND($E11&lt;=M$7+6,$G11&gt;=M$7),"x","")</x:f>
        <x:v>x</x:v>
      </x:c>
      <x:c r="N11" s="19" t="str">
        <x:f>IF(AND($E11&lt;=N$7+6,$G11&gt;=N$7),"x","")</x:f>
      </x:c>
      <x:c r="O11" s="19" t="str">
        <x:f>IF(AND($E11&lt;=O$7+6,$G11&gt;=O$7),"x","")</x:f>
      </x:c>
      <x:c r="P11" s="19" t="str">
        <x:f>IF(AND($E11&lt;=P$7+6,$G11&gt;=P$7),"x","")</x:f>
      </x:c>
      <x:c r="Q11" s="19" t="str">
        <x:f>IF(AND($E11&lt;=Q$7+6,$G11&gt;=Q$7),"x","")</x:f>
      </x:c>
      <x:c r="R11" s="19" t="str">
        <x:f>IF(AND($E11&lt;=R$7+6,$G11&gt;=R$7),"x","")</x:f>
      </x:c>
      <x:c r="S11" s="19" t="str">
        <x:f>IF(AND($E11&lt;=S$7+6,$G11&gt;=S$7),"x","")</x:f>
      </x:c>
      <x:c r="T11" s="19" t="str">
        <x:f>IF(AND($E11&lt;=T$7+6,$G11&gt;=T$7),"x","")</x:f>
      </x:c>
      <x:c r="U11" s="19" t="str">
        <x:f>IF(AND($E11&lt;=U$7+6,$G11&gt;=U$7),"x","")</x:f>
      </x:c>
      <x:c r="V11" s="19" t="str">
        <x:f>IF(AND($E11&lt;=V$7+6,$G11&gt;=V$7),"x","")</x:f>
      </x:c>
      <x:c r="W11" s="19" t="str">
        <x:f>IF(AND($E11&lt;=W$7+6,$G11&gt;=W$7),"x","")</x:f>
      </x:c>
      <x:c r="X11" s="19" t="str">
        <x:f>IF(AND($E11&lt;=X$7+6,$G11&gt;=X$7),"x","")</x:f>
      </x:c>
      <x:c r="Y11" s="19" t="str">
        <x:f>IF(AND($E11&lt;=Y$7+6,$G11&gt;=Y$7),"x","")</x:f>
      </x:c>
    </x:row>
    <x:row r="12" ht="42" customHeight="1">
      <x:c r="A12" s="2" t="str">
        <x:v>P05</x:v>
      </x:c>
      <x:c r="B12" s="14" t="str">
        <x:v>Revisar navegación y contexto por perfil</x:v>
      </x:c>
      <x:c r="C12" s="14" t="str">
        <x:v>Boris</x:v>
      </x:c>
      <x:c r="D12" s="14" t="str">
        <x:v>P01, P03</x:v>
      </x:c>
      <x:c r="E12" s="15" t="d">
        <x:v>2026-10-22T12:00:00.000Z</x:v>
      </x:c>
      <x:c r="F12" s="16" t="n">
        <x:v>2</x:v>
      </x:c>
      <x:c r="G12" s="12" t="n">
        <x:f>WORKDAY(E12,F12-1,$B$38:$B$40)</x:f>
        <x:v>46318</x:v>
      </x:c>
      <x:c r="H12" s="16" t="n">
        <x:v>4</x:v>
      </x:c>
      <x:c r="I12" s="13" t="n">
        <x:f>F12*H12</x:f>
        <x:v>8</x:v>
      </x:c>
      <x:c r="J12" s="17" t="str">
        <x:v>Planificado</x:v>
      </x:c>
      <x:c r="K12" s="14" t="str">
        <x:v>CU-01,CU-15,CU-16</x:v>
      </x:c>
      <x:c r="L12" s="14" t="str">
        <x:v>Cuatro identidades y navegación por permisos</x:v>
      </x:c>
      <x:c r="M12" s="19" t="str">
        <x:f>IF(AND($E12&lt;=M$7+6,$G12&gt;=M$7),"x","")</x:f>
        <x:v>x</x:v>
      </x:c>
      <x:c r="N12" s="19" t="str">
        <x:f>IF(AND($E12&lt;=N$7+6,$G12&gt;=N$7),"x","")</x:f>
      </x:c>
      <x:c r="O12" s="19" t="str">
        <x:f>IF(AND($E12&lt;=O$7+6,$G12&gt;=O$7),"x","")</x:f>
      </x:c>
      <x:c r="P12" s="19" t="str">
        <x:f>IF(AND($E12&lt;=P$7+6,$G12&gt;=P$7),"x","")</x:f>
      </x:c>
      <x:c r="Q12" s="19" t="str">
        <x:f>IF(AND($E12&lt;=Q$7+6,$G12&gt;=Q$7),"x","")</x:f>
      </x:c>
      <x:c r="R12" s="19" t="str">
        <x:f>IF(AND($E12&lt;=R$7+6,$G12&gt;=R$7),"x","")</x:f>
      </x:c>
      <x:c r="S12" s="19" t="str">
        <x:f>IF(AND($E12&lt;=S$7+6,$G12&gt;=S$7),"x","")</x:f>
      </x:c>
      <x:c r="T12" s="19" t="str">
        <x:f>IF(AND($E12&lt;=T$7+6,$G12&gt;=T$7),"x","")</x:f>
      </x:c>
      <x:c r="U12" s="19" t="str">
        <x:f>IF(AND($E12&lt;=U$7+6,$G12&gt;=U$7),"x","")</x:f>
      </x:c>
      <x:c r="V12" s="19" t="str">
        <x:f>IF(AND($E12&lt;=V$7+6,$G12&gt;=V$7),"x","")</x:f>
      </x:c>
      <x:c r="W12" s="19" t="str">
        <x:f>IF(AND($E12&lt;=W$7+6,$G12&gt;=W$7),"x","")</x:f>
      </x:c>
      <x:c r="X12" s="19" t="str">
        <x:f>IF(AND($E12&lt;=X$7+6,$G12&gt;=X$7),"x","")</x:f>
      </x:c>
      <x:c r="Y12" s="19" t="str">
        <x:f>IF(AND($E12&lt;=Y$7+6,$G12&gt;=Y$7),"x","")</x:f>
      </x:c>
    </x:row>
    <x:row r="13" ht="42" customHeight="1">
      <x:c r="A13" s="2" t="str">
        <x:v>P06</x:v>
      </x:c>
      <x:c r="B13" s="14" t="str">
        <x:v>Validar migración con datos heredados</x:v>
      </x:c>
      <x:c r="C13" s="14" t="str">
        <x:v>Fabián</x:v>
      </x:c>
      <x:c r="D13" s="14" t="str">
        <x:v>P04</x:v>
      </x:c>
      <x:c r="E13" s="15" t="d">
        <x:v>2026-10-26T12:00:00.000Z</x:v>
      </x:c>
      <x:c r="F13" s="16" t="n">
        <x:v>3</x:v>
      </x:c>
      <x:c r="G13" s="12" t="n">
        <x:f>WORKDAY(E13,F13-1,$B$38:$B$40)</x:f>
        <x:v>46323</x:v>
      </x:c>
      <x:c r="H13" s="16" t="n">
        <x:v>4</x:v>
      </x:c>
      <x:c r="I13" s="13" t="n">
        <x:f>F13*H13</x:f>
        <x:v>12</x:v>
      </x:c>
      <x:c r="J13" s="17" t="str">
        <x:v>Planificado</x:v>
      </x:c>
      <x:c r="K13" s="14" t="str">
        <x:v>RNF-06,RNF-07</x:v>
      </x:c>
      <x:c r="L13" s="14" t="str">
        <x:v>Crear desde cero y actualizar copia V1</x:v>
      </x:c>
      <x:c r="M13" s="19" t="str">
        <x:f>IF(AND($E13&lt;=M$7+6,$G13&gt;=M$7),"x","")</x:f>
      </x:c>
      <x:c r="N13" s="19" t="str">
        <x:f>IF(AND($E13&lt;=N$7+6,$G13&gt;=N$7),"x","")</x:f>
        <x:v>x</x:v>
      </x:c>
      <x:c r="O13" s="19" t="str">
        <x:f>IF(AND($E13&lt;=O$7+6,$G13&gt;=O$7),"x","")</x:f>
      </x:c>
      <x:c r="P13" s="19" t="str">
        <x:f>IF(AND($E13&lt;=P$7+6,$G13&gt;=P$7),"x","")</x:f>
      </x:c>
      <x:c r="Q13" s="19" t="str">
        <x:f>IF(AND($E13&lt;=Q$7+6,$G13&gt;=Q$7),"x","")</x:f>
      </x:c>
      <x:c r="R13" s="19" t="str">
        <x:f>IF(AND($E13&lt;=R$7+6,$G13&gt;=R$7),"x","")</x:f>
      </x:c>
      <x:c r="S13" s="19" t="str">
        <x:f>IF(AND($E13&lt;=S$7+6,$G13&gt;=S$7),"x","")</x:f>
      </x:c>
      <x:c r="T13" s="19" t="str">
        <x:f>IF(AND($E13&lt;=T$7+6,$G13&gt;=T$7),"x","")</x:f>
      </x:c>
      <x:c r="U13" s="19" t="str">
        <x:f>IF(AND($E13&lt;=U$7+6,$G13&gt;=U$7),"x","")</x:f>
      </x:c>
      <x:c r="V13" s="19" t="str">
        <x:f>IF(AND($E13&lt;=V$7+6,$G13&gt;=V$7),"x","")</x:f>
      </x:c>
      <x:c r="W13" s="19" t="str">
        <x:f>IF(AND($E13&lt;=W$7+6,$G13&gt;=W$7),"x","")</x:f>
      </x:c>
      <x:c r="X13" s="19" t="str">
        <x:f>IF(AND($E13&lt;=X$7+6,$G13&gt;=X$7),"x","")</x:f>
      </x:c>
      <x:c r="Y13" s="19" t="str">
        <x:f>IF(AND($E13&lt;=Y$7+6,$G13&gt;=Y$7),"x","")</x:f>
      </x:c>
    </x:row>
    <x:row r="14" ht="42" customHeight="1">
      <x:c r="A14" s="2" t="str">
        <x:v>P07</x:v>
      </x:c>
      <x:c r="B14" s="14" t="str">
        <x:v>Cerrar inventario y diseño de hardware</x:v>
      </x:c>
      <x:c r="C14" s="14" t="str">
        <x:v>Boris</x:v>
      </x:c>
      <x:c r="D14" s="14" t="str">
        <x:v>P05</x:v>
      </x:c>
      <x:c r="E14" s="15" t="d">
        <x:v>2026-10-26T12:00:00.000Z</x:v>
      </x:c>
      <x:c r="F14" s="16" t="n">
        <x:v>5</x:v>
      </x:c>
      <x:c r="G14" s="12" t="n">
        <x:f>WORKDAY(E14,F14-1,$B$38:$B$40)</x:f>
        <x:v>46325</x:v>
      </x:c>
      <x:c r="H14" s="16" t="n">
        <x:v>4</x:v>
      </x:c>
      <x:c r="I14" s="13" t="n">
        <x:f>F14*H14</x:f>
        <x:v>20</x:v>
      </x:c>
      <x:c r="J14" s="17" t="str">
        <x:v>Externo pendiente</x:v>
      </x:c>
      <x:c r="K14" s="14" t="str">
        <x:v>Hardware anterior</x:v>
      </x:c>
      <x:c r="L14" s="14" t="str">
        <x:v>BOM, energía, RF y montaje revisados</x:v>
      </x:c>
      <x:c r="M14" s="19" t="str">
        <x:f>IF(AND($E14&lt;=M$7+6,$G14&gt;=M$7),"x","")</x:f>
      </x:c>
      <x:c r="N14" s="19" t="str">
        <x:f>IF(AND($E14&lt;=N$7+6,$G14&gt;=N$7),"x","")</x:f>
        <x:v>x</x:v>
      </x:c>
      <x:c r="O14" s="19" t="str">
        <x:f>IF(AND($E14&lt;=O$7+6,$G14&gt;=O$7),"x","")</x:f>
      </x:c>
      <x:c r="P14" s="19" t="str">
        <x:f>IF(AND($E14&lt;=P$7+6,$G14&gt;=P$7),"x","")</x:f>
      </x:c>
      <x:c r="Q14" s="19" t="str">
        <x:f>IF(AND($E14&lt;=Q$7+6,$G14&gt;=Q$7),"x","")</x:f>
      </x:c>
      <x:c r="R14" s="19" t="str">
        <x:f>IF(AND($E14&lt;=R$7+6,$G14&gt;=R$7),"x","")</x:f>
      </x:c>
      <x:c r="S14" s="19" t="str">
        <x:f>IF(AND($E14&lt;=S$7+6,$G14&gt;=S$7),"x","")</x:f>
      </x:c>
      <x:c r="T14" s="19" t="str">
        <x:f>IF(AND($E14&lt;=T$7+6,$G14&gt;=T$7),"x","")</x:f>
      </x:c>
      <x:c r="U14" s="19" t="str">
        <x:f>IF(AND($E14&lt;=U$7+6,$G14&gt;=U$7),"x","")</x:f>
      </x:c>
      <x:c r="V14" s="19" t="str">
        <x:f>IF(AND($E14&lt;=V$7+6,$G14&gt;=V$7),"x","")</x:f>
      </x:c>
      <x:c r="W14" s="19" t="str">
        <x:f>IF(AND($E14&lt;=W$7+6,$G14&gt;=W$7),"x","")</x:f>
      </x:c>
      <x:c r="X14" s="19" t="str">
        <x:f>IF(AND($E14&lt;=X$7+6,$G14&gt;=X$7),"x","")</x:f>
      </x:c>
      <x:c r="Y14" s="19" t="str">
        <x:f>IF(AND($E14&lt;=Y$7+6,$G14&gt;=Y$7),"x","")</x:f>
      </x:c>
    </x:row>
    <x:row r="15" ht="42" customHeight="1">
      <x:c r="A15" s="2" t="str">
        <x:v>P08</x:v>
      </x:c>
      <x:c r="B15" s="14" t="str">
        <x:v>Ensayar MFA, sesiones y doble verificación</x:v>
      </x:c>
      <x:c r="C15" s="14" t="str">
        <x:v>Fabián</x:v>
      </x:c>
      <x:c r="D15" s="14" t="str">
        <x:v>P06</x:v>
      </x:c>
      <x:c r="E15" s="15" t="d">
        <x:v>2026-10-29T12:00:00.000Z</x:v>
      </x:c>
      <x:c r="F15" s="16" t="n">
        <x:v>4</x:v>
      </x:c>
      <x:c r="G15" s="12" t="n">
        <x:f>WORKDAY(E15,F15-1,$B$38:$B$40)</x:f>
        <x:v>46329</x:v>
      </x:c>
      <x:c r="H15" s="16" t="n">
        <x:v>4</x:v>
      </x:c>
      <x:c r="I15" s="13" t="n">
        <x:f>F15*H15</x:f>
        <x:v>16</x:v>
      </x:c>
      <x:c r="J15" s="17" t="str">
        <x:v>Planificado</x:v>
      </x:c>
      <x:c r="K15" s="14" t="str">
        <x:v>RF-02 a RF-04; RNF-02 a RNF-05</x:v>
      </x:c>
      <x:c r="L15" s="14" t="str">
        <x:v>TOTP, expiración, replay, suspensión y CSRF</x:v>
      </x:c>
      <x:c r="M15" s="19" t="str">
        <x:f>IF(AND($E15&lt;=M$7+6,$G15&gt;=M$7),"x","")</x:f>
      </x:c>
      <x:c r="N15" s="19" t="str">
        <x:f>IF(AND($E15&lt;=N$7+6,$G15&gt;=N$7),"x","")</x:f>
        <x:v>x</x:v>
      </x:c>
      <x:c r="O15" s="19" t="str">
        <x:f>IF(AND($E15&lt;=O$7+6,$G15&gt;=O$7),"x","")</x:f>
        <x:v>x</x:v>
      </x:c>
      <x:c r="P15" s="19" t="str">
        <x:f>IF(AND($E15&lt;=P$7+6,$G15&gt;=P$7),"x","")</x:f>
      </x:c>
      <x:c r="Q15" s="19" t="str">
        <x:f>IF(AND($E15&lt;=Q$7+6,$G15&gt;=Q$7),"x","")</x:f>
      </x:c>
      <x:c r="R15" s="19" t="str">
        <x:f>IF(AND($E15&lt;=R$7+6,$G15&gt;=R$7),"x","")</x:f>
      </x:c>
      <x:c r="S15" s="19" t="str">
        <x:f>IF(AND($E15&lt;=S$7+6,$G15&gt;=S$7),"x","")</x:f>
      </x:c>
      <x:c r="T15" s="19" t="str">
        <x:f>IF(AND($E15&lt;=T$7+6,$G15&gt;=T$7),"x","")</x:f>
      </x:c>
      <x:c r="U15" s="19" t="str">
        <x:f>IF(AND($E15&lt;=U$7+6,$G15&gt;=U$7),"x","")</x:f>
      </x:c>
      <x:c r="V15" s="19" t="str">
        <x:f>IF(AND($E15&lt;=V$7+6,$G15&gt;=V$7),"x","")</x:f>
      </x:c>
      <x:c r="W15" s="19" t="str">
        <x:f>IF(AND($E15&lt;=W$7+6,$G15&gt;=W$7),"x","")</x:f>
      </x:c>
      <x:c r="X15" s="19" t="str">
        <x:f>IF(AND($E15&lt;=X$7+6,$G15&gt;=X$7),"x","")</x:f>
      </x:c>
      <x:c r="Y15" s="19" t="str">
        <x:f>IF(AND($E15&lt;=Y$7+6,$G15&gt;=Y$7),"x","")</x:f>
      </x:c>
    </x:row>
    <x:row r="16" ht="42" customHeight="1">
      <x:c r="A16" s="2" t="str">
        <x:v>P09</x:v>
      </x:c>
      <x:c r="B16" s="14" t="str">
        <x:v>Probar tareas de los cuatro perfiles</x:v>
      </x:c>
      <x:c r="C16" s="14" t="str">
        <x:v>Boris</x:v>
      </x:c>
      <x:c r="D16" s="14" t="str">
        <x:v>P05</x:v>
      </x:c>
      <x:c r="E16" s="15" t="d">
        <x:v>2026-11-02T12:00:00.000Z</x:v>
      </x:c>
      <x:c r="F16" s="16" t="n">
        <x:v>5</x:v>
      </x:c>
      <x:c r="G16" s="12" t="n">
        <x:f>WORKDAY(E16,F16-1,$B$38:$B$40)</x:f>
        <x:v>46332</x:v>
      </x:c>
      <x:c r="H16" s="16" t="n">
        <x:v>4</x:v>
      </x:c>
      <x:c r="I16" s="13" t="n">
        <x:f>F16*H16</x:f>
        <x:v>20</x:v>
      </x:c>
      <x:c r="J16" s="17" t="str">
        <x:v>Planificado</x:v>
      </x:c>
      <x:c r="K16" s="14" t="str">
        <x:v>CU-01 a CU-25</x:v>
      </x:c>
      <x:c r="L16" s="14" t="str">
        <x:v>Flujos navegador con dos dueños y colaborador</x:v>
      </x:c>
      <x:c r="M16" s="19" t="str">
        <x:f>IF(AND($E16&lt;=M$7+6,$G16&gt;=M$7),"x","")</x:f>
      </x:c>
      <x:c r="N16" s="19" t="str">
        <x:f>IF(AND($E16&lt;=N$7+6,$G16&gt;=N$7),"x","")</x:f>
      </x:c>
      <x:c r="O16" s="19" t="str">
        <x:f>IF(AND($E16&lt;=O$7+6,$G16&gt;=O$7),"x","")</x:f>
        <x:v>x</x:v>
      </x:c>
      <x:c r="P16" s="19" t="str">
        <x:f>IF(AND($E16&lt;=P$7+6,$G16&gt;=P$7),"x","")</x:f>
      </x:c>
      <x:c r="Q16" s="19" t="str">
        <x:f>IF(AND($E16&lt;=Q$7+6,$G16&gt;=Q$7),"x","")</x:f>
      </x:c>
      <x:c r="R16" s="19" t="str">
        <x:f>IF(AND($E16&lt;=R$7+6,$G16&gt;=R$7),"x","")</x:f>
      </x:c>
      <x:c r="S16" s="19" t="str">
        <x:f>IF(AND($E16&lt;=S$7+6,$G16&gt;=S$7),"x","")</x:f>
      </x:c>
      <x:c r="T16" s="19" t="str">
        <x:f>IF(AND($E16&lt;=T$7+6,$G16&gt;=T$7),"x","")</x:f>
      </x:c>
      <x:c r="U16" s="19" t="str">
        <x:f>IF(AND($E16&lt;=U$7+6,$G16&gt;=U$7),"x","")</x:f>
      </x:c>
      <x:c r="V16" s="19" t="str">
        <x:f>IF(AND($E16&lt;=V$7+6,$G16&gt;=V$7),"x","")</x:f>
      </x:c>
      <x:c r="W16" s="19" t="str">
        <x:f>IF(AND($E16&lt;=W$7+6,$G16&gt;=W$7),"x","")</x:f>
      </x:c>
      <x:c r="X16" s="19" t="str">
        <x:f>IF(AND($E16&lt;=X$7+6,$G16&gt;=X$7),"x","")</x:f>
      </x:c>
      <x:c r="Y16" s="19" t="str">
        <x:f>IF(AND($E16&lt;=Y$7+6,$G16&gt;=Y$7),"x","")</x:f>
      </x:c>
    </x:row>
    <x:row r="17" ht="42" customHeight="1">
      <x:c r="A17" s="2" t="str">
        <x:v>P10</x:v>
      </x:c>
      <x:c r="B17" s="14" t="str">
        <x:v>Probar aprobación, confianza y concurrencia</x:v>
      </x:c>
      <x:c r="C17" s="14" t="str">
        <x:v>Fabián</x:v>
      </x:c>
      <x:c r="D17" s="14" t="str">
        <x:v>P08</x:v>
      </x:c>
      <x:c r="E17" s="15" t="d">
        <x:v>2026-11-04T12:00:00.000Z</x:v>
      </x:c>
      <x:c r="F17" s="16" t="n">
        <x:v>5</x:v>
      </x:c>
      <x:c r="G17" s="12" t="n">
        <x:f>WORKDAY(E17,F17-1,$B$38:$B$40)</x:f>
        <x:v>46336</x:v>
      </x:c>
      <x:c r="H17" s="16" t="n">
        <x:v>4</x:v>
      </x:c>
      <x:c r="I17" s="13" t="n">
        <x:f>F17*H17</x:f>
        <x:v>20</x:v>
      </x:c>
      <x:c r="J17" s="17" t="str">
        <x:v>Planificado</x:v>
      </x:c>
      <x:c r="K17" s="14" t="str">
        <x:v>RF-24 a RF-29</x:v>
      </x:c>
      <x:c r="L17" s="14" t="str">
        <x:v>Pendiente sin efecto y aplicación exactamente una vez</x:v>
      </x:c>
      <x:c r="M17" s="19" t="str">
        <x:f>IF(AND($E17&lt;=M$7+6,$G17&gt;=M$7),"x","")</x:f>
      </x:c>
      <x:c r="N17" s="19" t="str">
        <x:f>IF(AND($E17&lt;=N$7+6,$G17&gt;=N$7),"x","")</x:f>
      </x:c>
      <x:c r="O17" s="19" t="str">
        <x:f>IF(AND($E17&lt;=O$7+6,$G17&gt;=O$7),"x","")</x:f>
        <x:v>x</x:v>
      </x:c>
      <x:c r="P17" s="19" t="str">
        <x:f>IF(AND($E17&lt;=P$7+6,$G17&gt;=P$7),"x","")</x:f>
        <x:v>x</x:v>
      </x:c>
      <x:c r="Q17" s="19" t="str">
        <x:f>IF(AND($E17&lt;=Q$7+6,$G17&gt;=Q$7),"x","")</x:f>
      </x:c>
      <x:c r="R17" s="19" t="str">
        <x:f>IF(AND($E17&lt;=R$7+6,$G17&gt;=R$7),"x","")</x:f>
      </x:c>
      <x:c r="S17" s="19" t="str">
        <x:f>IF(AND($E17&lt;=S$7+6,$G17&gt;=S$7),"x","")</x:f>
      </x:c>
      <x:c r="T17" s="19" t="str">
        <x:f>IF(AND($E17&lt;=T$7+6,$G17&gt;=T$7),"x","")</x:f>
      </x:c>
      <x:c r="U17" s="19" t="str">
        <x:f>IF(AND($E17&lt;=U$7+6,$G17&gt;=U$7),"x","")</x:f>
      </x:c>
      <x:c r="V17" s="19" t="str">
        <x:f>IF(AND($E17&lt;=V$7+6,$G17&gt;=V$7),"x","")</x:f>
      </x:c>
      <x:c r="W17" s="19" t="str">
        <x:f>IF(AND($E17&lt;=W$7+6,$G17&gt;=W$7),"x","")</x:f>
      </x:c>
      <x:c r="X17" s="19" t="str">
        <x:f>IF(AND($E17&lt;=X$7+6,$G17&gt;=X$7),"x","")</x:f>
      </x:c>
      <x:c r="Y17" s="19" t="str">
        <x:f>IF(AND($E17&lt;=Y$7+6,$G17&gt;=Y$7),"x","")</x:f>
      </x:c>
    </x:row>
    <x:row r="18" ht="42" customHeight="1">
      <x:c r="A18" s="2" t="str">
        <x:v>P11</x:v>
      </x:c>
      <x:c r="B18" s="14" t="str">
        <x:v>Programar y probar dos nodos iniciales</x:v>
      </x:c>
      <x:c r="C18" s="14" t="str">
        <x:v>Boris</x:v>
      </x:c>
      <x:c r="D18" s="14" t="str">
        <x:v>P07, P09</x:v>
      </x:c>
      <x:c r="E18" s="15" t="d">
        <x:v>2026-11-09T12:00:00.000Z</x:v>
      </x:c>
      <x:c r="F18" s="16" t="n">
        <x:v>5</x:v>
      </x:c>
      <x:c r="G18" s="12" t="n">
        <x:f>WORKDAY(E18,F18-1,$B$38:$B$40)</x:f>
        <x:v>46339</x:v>
      </x:c>
      <x:c r="H18" s="16" t="n">
        <x:v>4</x:v>
      </x:c>
      <x:c r="I18" s="13" t="n">
        <x:f>F18*H18</x:f>
        <x:v>20</x:v>
      </x:c>
      <x:c r="J18" s="17" t="str">
        <x:v>Externo pendiente</x:v>
      </x:c>
      <x:c r="K18" s="14" t="str">
        <x:v>CU-26; HW03</x:v>
      </x:c>
      <x:c r="L18" s="14" t="str">
        <x:v>Lecturas reales y firmware identificado</x:v>
      </x:c>
      <x:c r="M18" s="19" t="str">
        <x:f>IF(AND($E18&lt;=M$7+6,$G18&gt;=M$7),"x","")</x:f>
      </x:c>
      <x:c r="N18" s="19" t="str">
        <x:f>IF(AND($E18&lt;=N$7+6,$G18&gt;=N$7),"x","")</x:f>
      </x:c>
      <x:c r="O18" s="19" t="str">
        <x:f>IF(AND($E18&lt;=O$7+6,$G18&gt;=O$7),"x","")</x:f>
      </x:c>
      <x:c r="P18" s="19" t="str">
        <x:f>IF(AND($E18&lt;=P$7+6,$G18&gt;=P$7),"x","")</x:f>
        <x:v>x</x:v>
      </x:c>
      <x:c r="Q18" s="19" t="str">
        <x:f>IF(AND($E18&lt;=Q$7+6,$G18&gt;=Q$7),"x","")</x:f>
      </x:c>
      <x:c r="R18" s="19" t="str">
        <x:f>IF(AND($E18&lt;=R$7+6,$G18&gt;=R$7),"x","")</x:f>
      </x:c>
      <x:c r="S18" s="19" t="str">
        <x:f>IF(AND($E18&lt;=S$7+6,$G18&gt;=S$7),"x","")</x:f>
      </x:c>
      <x:c r="T18" s="19" t="str">
        <x:f>IF(AND($E18&lt;=T$7+6,$G18&gt;=T$7),"x","")</x:f>
      </x:c>
      <x:c r="U18" s="19" t="str">
        <x:f>IF(AND($E18&lt;=U$7+6,$G18&gt;=U$7),"x","")</x:f>
      </x:c>
      <x:c r="V18" s="19" t="str">
        <x:f>IF(AND($E18&lt;=V$7+6,$G18&gt;=V$7),"x","")</x:f>
      </x:c>
      <x:c r="W18" s="19" t="str">
        <x:f>IF(AND($E18&lt;=W$7+6,$G18&gt;=W$7),"x","")</x:f>
      </x:c>
      <x:c r="X18" s="19" t="str">
        <x:f>IF(AND($E18&lt;=X$7+6,$G18&gt;=X$7),"x","")</x:f>
      </x:c>
      <x:c r="Y18" s="19" t="str">
        <x:f>IF(AND($E18&lt;=Y$7+6,$G18&gt;=Y$7),"x","")</x:f>
      </x:c>
    </x:row>
    <x:row r="19" ht="42" customHeight="1">
      <x:c r="A19" s="2" t="str">
        <x:v>P12</x:v>
      </x:c>
      <x:c r="B19" s="14" t="str">
        <x:v>Validar ficha técnica y salud inmutable</x:v>
      </x:c>
      <x:c r="C19" s="14" t="str">
        <x:v>Fabián</x:v>
      </x:c>
      <x:c r="D19" s="14" t="str">
        <x:v>P10</x:v>
      </x:c>
      <x:c r="E19" s="15" t="d">
        <x:v>2026-11-11T12:00:00.000Z</x:v>
      </x:c>
      <x:c r="F19" s="16" t="n">
        <x:v>5</x:v>
      </x:c>
      <x:c r="G19" s="12" t="n">
        <x:f>WORKDAY(E19,F19-1,$B$38:$B$40)</x:f>
        <x:v>46343</x:v>
      </x:c>
      <x:c r="H19" s="16" t="n">
        <x:v>4</x:v>
      </x:c>
      <x:c r="I19" s="13" t="n">
        <x:f>F19*H19</x:f>
        <x:v>20</x:v>
      </x:c>
      <x:c r="J19" s="17" t="str">
        <x:v>Planificado</x:v>
      </x:c>
      <x:c r="K19" s="14" t="str">
        <x:v>RF-15,RF-30 a RF-33</x:v>
      </x:c>
      <x:c r="L19" s="14" t="str">
        <x:v>Veterinario directo, correcciones y unidades</x:v>
      </x:c>
      <x:c r="M19" s="19" t="str">
        <x:f>IF(AND($E19&lt;=M$7+6,$G19&gt;=M$7),"x","")</x:f>
      </x:c>
      <x:c r="N19" s="19" t="str">
        <x:f>IF(AND($E19&lt;=N$7+6,$G19&gt;=N$7),"x","")</x:f>
      </x:c>
      <x:c r="O19" s="19" t="str">
        <x:f>IF(AND($E19&lt;=O$7+6,$G19&gt;=O$7),"x","")</x:f>
      </x:c>
      <x:c r="P19" s="19" t="str">
        <x:f>IF(AND($E19&lt;=P$7+6,$G19&gt;=P$7),"x","")</x:f>
        <x:v>x</x:v>
      </x:c>
      <x:c r="Q19" s="19" t="str">
        <x:f>IF(AND($E19&lt;=Q$7+6,$G19&gt;=Q$7),"x","")</x:f>
        <x:v>x</x:v>
      </x:c>
      <x:c r="R19" s="19" t="str">
        <x:f>IF(AND($E19&lt;=R$7+6,$G19&gt;=R$7),"x","")</x:f>
      </x:c>
      <x:c r="S19" s="19" t="str">
        <x:f>IF(AND($E19&lt;=S$7+6,$G19&gt;=S$7),"x","")</x:f>
      </x:c>
      <x:c r="T19" s="19" t="str">
        <x:f>IF(AND($E19&lt;=T$7+6,$G19&gt;=T$7),"x","")</x:f>
      </x:c>
      <x:c r="U19" s="19" t="str">
        <x:f>IF(AND($E19&lt;=U$7+6,$G19&gt;=U$7),"x","")</x:f>
      </x:c>
      <x:c r="V19" s="19" t="str">
        <x:f>IF(AND($E19&lt;=V$7+6,$G19&gt;=V$7),"x","")</x:f>
      </x:c>
      <x:c r="W19" s="19" t="str">
        <x:f>IF(AND($E19&lt;=W$7+6,$G19&gt;=W$7),"x","")</x:f>
      </x:c>
      <x:c r="X19" s="19" t="str">
        <x:f>IF(AND($E19&lt;=X$7+6,$G19&gt;=X$7),"x","")</x:f>
      </x:c>
      <x:c r="Y19" s="19" t="str">
        <x:f>IF(AND($E19&lt;=Y$7+6,$G19&gt;=Y$7),"x","")</x:f>
      </x:c>
    </x:row>
    <x:row r="20" ht="42" customHeight="1">
      <x:c r="A20" s="2" t="str">
        <x:v>P13</x:v>
      </x:c>
      <x:c r="B20" s="14" t="str">
        <x:v>Verificar mapa, puntos y gateways</x:v>
      </x:c>
      <x:c r="C20" s="14" t="str">
        <x:v>Boris</x:v>
      </x:c>
      <x:c r="D20" s="14" t="str">
        <x:v>P09, P11</x:v>
      </x:c>
      <x:c r="E20" s="15" t="d">
        <x:v>2026-11-16T12:00:00.000Z</x:v>
      </x:c>
      <x:c r="F20" s="16" t="n">
        <x:v>5</x:v>
      </x:c>
      <x:c r="G20" s="12" t="n">
        <x:f>WORKDAY(E20,F20-1,$B$38:$B$40)</x:f>
        <x:v>46346</x:v>
      </x:c>
      <x:c r="H20" s="16" t="n">
        <x:v>4</x:v>
      </x:c>
      <x:c r="I20" s="13" t="n">
        <x:f>F20*H20</x:f>
        <x:v>20</x:v>
      </x:c>
      <x:c r="J20" s="17" t="str">
        <x:v>Planificado</x:v>
      </x:c>
      <x:c r="K20" s="14" t="str">
        <x:v>RF-13,RF-22,RF-34</x:v>
      </x:c>
      <x:c r="L20" s="14" t="str">
        <x:v>Cuatro vértices, geometría válida y origen visible</x:v>
      </x:c>
      <x:c r="M20" s="19" t="str">
        <x:f>IF(AND($E20&lt;=M$7+6,$G20&gt;=M$7),"x","")</x:f>
      </x:c>
      <x:c r="N20" s="19" t="str">
        <x:f>IF(AND($E20&lt;=N$7+6,$G20&gt;=N$7),"x","")</x:f>
      </x:c>
      <x:c r="O20" s="19" t="str">
        <x:f>IF(AND($E20&lt;=O$7+6,$G20&gt;=O$7),"x","")</x:f>
      </x:c>
      <x:c r="P20" s="19" t="str">
        <x:f>IF(AND($E20&lt;=P$7+6,$G20&gt;=P$7),"x","")</x:f>
      </x:c>
      <x:c r="Q20" s="19" t="str">
        <x:f>IF(AND($E20&lt;=Q$7+6,$G20&gt;=Q$7),"x","")</x:f>
        <x:v>x</x:v>
      </x:c>
      <x:c r="R20" s="19" t="str">
        <x:f>IF(AND($E20&lt;=R$7+6,$G20&gt;=R$7),"x","")</x:f>
      </x:c>
      <x:c r="S20" s="19" t="str">
        <x:f>IF(AND($E20&lt;=S$7+6,$G20&gt;=S$7),"x","")</x:f>
      </x:c>
      <x:c r="T20" s="19" t="str">
        <x:f>IF(AND($E20&lt;=T$7+6,$G20&gt;=T$7),"x","")</x:f>
      </x:c>
      <x:c r="U20" s="19" t="str">
        <x:f>IF(AND($E20&lt;=U$7+6,$G20&gt;=U$7),"x","")</x:f>
      </x:c>
      <x:c r="V20" s="19" t="str">
        <x:f>IF(AND($E20&lt;=V$7+6,$G20&gt;=V$7),"x","")</x:f>
      </x:c>
      <x:c r="W20" s="19" t="str">
        <x:f>IF(AND($E20&lt;=W$7+6,$G20&gt;=W$7),"x","")</x:f>
      </x:c>
      <x:c r="X20" s="19" t="str">
        <x:f>IF(AND($E20&lt;=X$7+6,$G20&gt;=X$7),"x","")</x:f>
      </x:c>
      <x:c r="Y20" s="19" t="str">
        <x:f>IF(AND($E20&lt;=Y$7+6,$G20&gt;=Y$7),"x","")</x:f>
      </x:c>
    </x:row>
    <x:row r="21" ht="42" customHeight="1">
      <x:c r="A21" s="2" t="str">
        <x:v>P14</x:v>
      </x:c>
      <x:c r="B21" s="14" t="str">
        <x:v>Validar KPIs, auditoría y observabilidad</x:v>
      </x:c>
      <x:c r="C21" s="14" t="str">
        <x:v>Fabián</x:v>
      </x:c>
      <x:c r="D21" s="14" t="str">
        <x:v>P12</x:v>
      </x:c>
      <x:c r="E21" s="15" t="d">
        <x:v>2026-11-18T12:00:00.000Z</x:v>
      </x:c>
      <x:c r="F21" s="16" t="n">
        <x:v>5</x:v>
      </x:c>
      <x:c r="G21" s="12" t="n">
        <x:f>WORKDAY(E21,F21-1,$B$38:$B$40)</x:f>
        <x:v>46350</x:v>
      </x:c>
      <x:c r="H21" s="16" t="n">
        <x:v>4</x:v>
      </x:c>
      <x:c r="I21" s="13" t="n">
        <x:f>F21*H21</x:f>
        <x:v>20</x:v>
      </x:c>
      <x:c r="J21" s="17" t="str">
        <x:v>Planificado</x:v>
      </x:c>
      <x:c r="K21" s="14" t="str">
        <x:v>RF-07 a RF-10; RNF-16</x:v>
      </x:c>
      <x:c r="L21" s="14" t="str">
        <x:v>Conteos sin duplicados, p95 y auditoría sin secretos</x:v>
      </x:c>
      <x:c r="M21" s="19" t="str">
        <x:f>IF(AND($E21&lt;=M$7+6,$G21&gt;=M$7),"x","")</x:f>
      </x:c>
      <x:c r="N21" s="19" t="str">
        <x:f>IF(AND($E21&lt;=N$7+6,$G21&gt;=N$7),"x","")</x:f>
      </x:c>
      <x:c r="O21" s="19" t="str">
        <x:f>IF(AND($E21&lt;=O$7+6,$G21&gt;=O$7),"x","")</x:f>
      </x:c>
      <x:c r="P21" s="19" t="str">
        <x:f>IF(AND($E21&lt;=P$7+6,$G21&gt;=P$7),"x","")</x:f>
      </x:c>
      <x:c r="Q21" s="19" t="str">
        <x:f>IF(AND($E21&lt;=Q$7+6,$G21&gt;=Q$7),"x","")</x:f>
        <x:v>x</x:v>
      </x:c>
      <x:c r="R21" s="19" t="str">
        <x:f>IF(AND($E21&lt;=R$7+6,$G21&gt;=R$7),"x","")</x:f>
        <x:v>x</x:v>
      </x:c>
      <x:c r="S21" s="19" t="str">
        <x:f>IF(AND($E21&lt;=S$7+6,$G21&gt;=S$7),"x","")</x:f>
      </x:c>
      <x:c r="T21" s="19" t="str">
        <x:f>IF(AND($E21&lt;=T$7+6,$G21&gt;=T$7),"x","")</x:f>
      </x:c>
      <x:c r="U21" s="19" t="str">
        <x:f>IF(AND($E21&lt;=U$7+6,$G21&gt;=U$7),"x","")</x:f>
      </x:c>
      <x:c r="V21" s="19" t="str">
        <x:f>IF(AND($E21&lt;=V$7+6,$G21&gt;=V$7),"x","")</x:f>
      </x:c>
      <x:c r="W21" s="19" t="str">
        <x:f>IF(AND($E21&lt;=W$7+6,$G21&gt;=W$7),"x","")</x:f>
      </x:c>
      <x:c r="X21" s="19" t="str">
        <x:f>IF(AND($E21&lt;=X$7+6,$G21&gt;=X$7),"x","")</x:f>
      </x:c>
      <x:c r="Y21" s="19" t="str">
        <x:f>IF(AND($E21&lt;=Y$7+6,$G21&gt;=Y$7),"x","")</x:f>
      </x:c>
    </x:row>
    <x:row r="22" ht="42" customHeight="1">
      <x:c r="A22" s="2" t="str">
        <x:v>P15</x:v>
      </x:c>
      <x:c r="B22" s="14" t="str">
        <x:v>Integrar radio y medir banco académico</x:v>
      </x:c>
      <x:c r="C22" s="14" t="str">
        <x:v>Boris</x:v>
      </x:c>
      <x:c r="D22" s="14" t="str">
        <x:v>P11, P13</x:v>
      </x:c>
      <x:c r="E22" s="15" t="d">
        <x:v>2026-11-23T12:00:00.000Z</x:v>
      </x:c>
      <x:c r="F22" s="16" t="n">
        <x:v>5</x:v>
      </x:c>
      <x:c r="G22" s="12" t="n">
        <x:f>WORKDAY(E22,F22-1,$B$38:$B$40)</x:f>
        <x:v>46353</x:v>
      </x:c>
      <x:c r="H22" s="16" t="n">
        <x:v>4</x:v>
      </x:c>
      <x:c r="I22" s="13" t="n">
        <x:f>F22*H22</x:f>
        <x:v>20</x:v>
      </x:c>
      <x:c r="J22" s="17" t="str">
        <x:v>Externo pendiente</x:v>
      </x:c>
      <x:c r="K22" s="14" t="str">
        <x:v>CU-26 a CU-28</x:v>
      </x:c>
      <x:c r="L22" s="14" t="str">
        <x:v>Recepción real, secuencia y recuperación de datos</x:v>
      </x:c>
      <x:c r="M22" s="19" t="str">
        <x:f>IF(AND($E22&lt;=M$7+6,$G22&gt;=M$7),"x","")</x:f>
      </x:c>
      <x:c r="N22" s="19" t="str">
        <x:f>IF(AND($E22&lt;=N$7+6,$G22&gt;=N$7),"x","")</x:f>
      </x:c>
      <x:c r="O22" s="19" t="str">
        <x:f>IF(AND($E22&lt;=O$7+6,$G22&gt;=O$7),"x","")</x:f>
      </x:c>
      <x:c r="P22" s="19" t="str">
        <x:f>IF(AND($E22&lt;=P$7+6,$G22&gt;=P$7),"x","")</x:f>
      </x:c>
      <x:c r="Q22" s="19" t="str">
        <x:f>IF(AND($E22&lt;=Q$7+6,$G22&gt;=Q$7),"x","")</x:f>
      </x:c>
      <x:c r="R22" s="19" t="str">
        <x:f>IF(AND($E22&lt;=R$7+6,$G22&gt;=R$7),"x","")</x:f>
        <x:v>x</x:v>
      </x:c>
      <x:c r="S22" s="19" t="str">
        <x:f>IF(AND($E22&lt;=S$7+6,$G22&gt;=S$7),"x","")</x:f>
      </x:c>
      <x:c r="T22" s="19" t="str">
        <x:f>IF(AND($E22&lt;=T$7+6,$G22&gt;=T$7),"x","")</x:f>
      </x:c>
      <x:c r="U22" s="19" t="str">
        <x:f>IF(AND($E22&lt;=U$7+6,$G22&gt;=U$7),"x","")</x:f>
      </x:c>
      <x:c r="V22" s="19" t="str">
        <x:f>IF(AND($E22&lt;=V$7+6,$G22&gt;=V$7),"x","")</x:f>
      </x:c>
      <x:c r="W22" s="19" t="str">
        <x:f>IF(AND($E22&lt;=W$7+6,$G22&gt;=W$7),"x","")</x:f>
      </x:c>
      <x:c r="X22" s="19" t="str">
        <x:f>IF(AND($E22&lt;=X$7+6,$G22&gt;=X$7),"x","")</x:f>
      </x:c>
      <x:c r="Y22" s="19" t="str">
        <x:f>IF(AND($E22&lt;=Y$7+6,$G22&gt;=Y$7),"x","")</x:f>
      </x:c>
    </x:row>
    <x:row r="23" ht="42" customHeight="1">
      <x:c r="A23" s="2" t="str">
        <x:v>P16</x:v>
      </x:c>
      <x:c r="B23" s="14" t="str">
        <x:v>Medir carga e idempotencia de telemetría</x:v>
      </x:c>
      <x:c r="C23" s="14" t="str">
        <x:v>Fabián</x:v>
      </x:c>
      <x:c r="D23" s="14" t="str">
        <x:v>P14</x:v>
      </x:c>
      <x:c r="E23" s="15" t="d">
        <x:v>2026-11-25T12:00:00.000Z</x:v>
      </x:c>
      <x:c r="F23" s="16" t="n">
        <x:v>5</x:v>
      </x:c>
      <x:c r="G23" s="12" t="n">
        <x:f>WORKDAY(E23,F23-1,$B$38:$B$40)</x:f>
        <x:v>46357</x:v>
      </x:c>
      <x:c r="H23" s="16" t="n">
        <x:v>4</x:v>
      </x:c>
      <x:c r="I23" s="13" t="n">
        <x:f>F23*H23</x:f>
        <x:v>20</x:v>
      </x:c>
      <x:c r="J23" s="17" t="str">
        <x:v>Planificado</x:v>
      </x:c>
      <x:c r="K23" s="14" t="str">
        <x:v>RNF-08 a RNF-10</x:v>
      </x:c>
      <x:c r="L23" s="14" t="str">
        <x:v>70 nodos, 5 clientes, 10 min y 100 eventos</x:v>
      </x:c>
      <x:c r="M23" s="19" t="str">
        <x:f>IF(AND($E23&lt;=M$7+6,$G23&gt;=M$7),"x","")</x:f>
      </x:c>
      <x:c r="N23" s="19" t="str">
        <x:f>IF(AND($E23&lt;=N$7+6,$G23&gt;=N$7),"x","")</x:f>
      </x:c>
      <x:c r="O23" s="19" t="str">
        <x:f>IF(AND($E23&lt;=O$7+6,$G23&gt;=O$7),"x","")</x:f>
      </x:c>
      <x:c r="P23" s="19" t="str">
        <x:f>IF(AND($E23&lt;=P$7+6,$G23&gt;=P$7),"x","")</x:f>
      </x:c>
      <x:c r="Q23" s="19" t="str">
        <x:f>IF(AND($E23&lt;=Q$7+6,$G23&gt;=Q$7),"x","")</x:f>
      </x:c>
      <x:c r="R23" s="19" t="str">
        <x:f>IF(AND($E23&lt;=R$7+6,$G23&gt;=R$7),"x","")</x:f>
        <x:v>x</x:v>
      </x:c>
      <x:c r="S23" s="19" t="str">
        <x:f>IF(AND($E23&lt;=S$7+6,$G23&gt;=S$7),"x","")</x:f>
        <x:v>x</x:v>
      </x:c>
      <x:c r="T23" s="19" t="str">
        <x:f>IF(AND($E23&lt;=T$7+6,$G23&gt;=T$7),"x","")</x:f>
      </x:c>
      <x:c r="U23" s="19" t="str">
        <x:f>IF(AND($E23&lt;=U$7+6,$G23&gt;=U$7),"x","")</x:f>
      </x:c>
      <x:c r="V23" s="19" t="str">
        <x:f>IF(AND($E23&lt;=V$7+6,$G23&gt;=V$7),"x","")</x:f>
      </x:c>
      <x:c r="W23" s="19" t="str">
        <x:f>IF(AND($E23&lt;=W$7+6,$G23&gt;=W$7),"x","")</x:f>
      </x:c>
      <x:c r="X23" s="19" t="str">
        <x:f>IF(AND($E23&lt;=X$7+6,$G23&gt;=X$7),"x","")</x:f>
      </x:c>
      <x:c r="Y23" s="19" t="str">
        <x:f>IF(AND($E23&lt;=Y$7+6,$G23&gt;=Y$7),"x","")</x:f>
      </x:c>
    </x:row>
    <x:row r="24" ht="42" customHeight="1">
      <x:c r="A24" s="2" t="str">
        <x:v>P17</x:v>
      </x:c>
      <x:c r="B24" s="14" t="str">
        <x:v>Ejecutar usabilidad con cuatro perfiles</x:v>
      </x:c>
      <x:c r="C24" s="14" t="str">
        <x:v>Boris</x:v>
      </x:c>
      <x:c r="D24" s="14" t="str">
        <x:v>P13, P15</x:v>
      </x:c>
      <x:c r="E24" s="15" t="d">
        <x:v>2026-11-30T12:00:00.000Z</x:v>
      </x:c>
      <x:c r="F24" s="16" t="n">
        <x:v>5</x:v>
      </x:c>
      <x:c r="G24" s="12" t="n">
        <x:f>WORKDAY(E24,F24-1,$B$38:$B$40)</x:f>
        <x:v>46360</x:v>
      </x:c>
      <x:c r="H24" s="16" t="n">
        <x:v>4</x:v>
      </x:c>
      <x:c r="I24" s="13" t="n">
        <x:f>F24*H24</x:f>
        <x:v>20</x:v>
      </x:c>
      <x:c r="J24" s="17" t="str">
        <x:v>Externo pendiente</x:v>
      </x:c>
      <x:c r="K24" s="14" t="str">
        <x:v>RNF-14</x:v>
      </x:c>
      <x:c r="L24" s="14" t="str">
        <x:v>Móvil 360 px, tareas y tiempos observados</x:v>
      </x:c>
      <x:c r="M24" s="19" t="str">
        <x:f>IF(AND($E24&lt;=M$7+6,$G24&gt;=M$7),"x","")</x:f>
      </x:c>
      <x:c r="N24" s="19" t="str">
        <x:f>IF(AND($E24&lt;=N$7+6,$G24&gt;=N$7),"x","")</x:f>
      </x:c>
      <x:c r="O24" s="19" t="str">
        <x:f>IF(AND($E24&lt;=O$7+6,$G24&gt;=O$7),"x","")</x:f>
      </x:c>
      <x:c r="P24" s="19" t="str">
        <x:f>IF(AND($E24&lt;=P$7+6,$G24&gt;=P$7),"x","")</x:f>
      </x:c>
      <x:c r="Q24" s="19" t="str">
        <x:f>IF(AND($E24&lt;=Q$7+6,$G24&gt;=Q$7),"x","")</x:f>
      </x:c>
      <x:c r="R24" s="19" t="str">
        <x:f>IF(AND($E24&lt;=R$7+6,$G24&gt;=R$7),"x","")</x:f>
      </x:c>
      <x:c r="S24" s="19" t="str">
        <x:f>IF(AND($E24&lt;=S$7+6,$G24&gt;=S$7),"x","")</x:f>
        <x:v>x</x:v>
      </x:c>
      <x:c r="T24" s="19" t="str">
        <x:f>IF(AND($E24&lt;=T$7+6,$G24&gt;=T$7),"x","")</x:f>
      </x:c>
      <x:c r="U24" s="19" t="str">
        <x:f>IF(AND($E24&lt;=U$7+6,$G24&gt;=U$7),"x","")</x:f>
      </x:c>
      <x:c r="V24" s="19" t="str">
        <x:f>IF(AND($E24&lt;=V$7+6,$G24&gt;=V$7),"x","")</x:f>
      </x:c>
      <x:c r="W24" s="19" t="str">
        <x:f>IF(AND($E24&lt;=W$7+6,$G24&gt;=W$7),"x","")</x:f>
      </x:c>
      <x:c r="X24" s="19" t="str">
        <x:f>IF(AND($E24&lt;=X$7+6,$G24&gt;=X$7),"x","")</x:f>
      </x:c>
      <x:c r="Y24" s="19" t="str">
        <x:f>IF(AND($E24&lt;=Y$7+6,$G24&gt;=Y$7),"x","")</x:f>
      </x:c>
    </x:row>
    <x:row r="25" ht="42" customHeight="1">
      <x:c r="A25" s="2" t="str">
        <x:v>P18</x:v>
      </x:c>
      <x:c r="B25" s="14" t="str">
        <x:v>Ensayar respaldo, restauración y corte WAN</x:v>
      </x:c>
      <x:c r="C25" s="14" t="str">
        <x:v>Fabián</x:v>
      </x:c>
      <x:c r="D25" s="14" t="str">
        <x:v>P16</x:v>
      </x:c>
      <x:c r="E25" s="15" t="d">
        <x:v>2026-12-02T12:00:00.000Z</x:v>
      </x:c>
      <x:c r="F25" s="16" t="n">
        <x:v>4</x:v>
      </x:c>
      <x:c r="G25" s="12" t="n">
        <x:f>WORKDAY(E25,F25-1,$B$38:$B$40)</x:f>
        <x:v>46363</x:v>
      </x:c>
      <x:c r="H25" s="16" t="n">
        <x:v>4</x:v>
      </x:c>
      <x:c r="I25" s="13" t="n">
        <x:f>F25*H25</x:f>
        <x:v>16</x:v>
      </x:c>
      <x:c r="J25" s="17" t="str">
        <x:v>Planificado</x:v>
      </x:c>
      <x:c r="K25" s="14" t="str">
        <x:v>RNF-12,RNF-13</x:v>
      </x:c>
      <x:c r="L25" s="14" t="str">
        <x:v>RPO/RTO medidos y recuperación de cola</x:v>
      </x:c>
      <x:c r="M25" s="19" t="str">
        <x:f>IF(AND($E25&lt;=M$7+6,$G25&gt;=M$7),"x","")</x:f>
      </x:c>
      <x:c r="N25" s="19" t="str">
        <x:f>IF(AND($E25&lt;=N$7+6,$G25&gt;=N$7),"x","")</x:f>
      </x:c>
      <x:c r="O25" s="19" t="str">
        <x:f>IF(AND($E25&lt;=O$7+6,$G25&gt;=O$7),"x","")</x:f>
      </x:c>
      <x:c r="P25" s="19" t="str">
        <x:f>IF(AND($E25&lt;=P$7+6,$G25&gt;=P$7),"x","")</x:f>
      </x:c>
      <x:c r="Q25" s="19" t="str">
        <x:f>IF(AND($E25&lt;=Q$7+6,$G25&gt;=Q$7),"x","")</x:f>
      </x:c>
      <x:c r="R25" s="19" t="str">
        <x:f>IF(AND($E25&lt;=R$7+6,$G25&gt;=R$7),"x","")</x:f>
      </x:c>
      <x:c r="S25" s="19" t="str">
        <x:f>IF(AND($E25&lt;=S$7+6,$G25&gt;=S$7),"x","")</x:f>
        <x:v>x</x:v>
      </x:c>
      <x:c r="T25" s="19" t="str">
        <x:f>IF(AND($E25&lt;=T$7+6,$G25&gt;=T$7),"x","")</x:f>
      </x:c>
      <x:c r="U25" s="19" t="str">
        <x:f>IF(AND($E25&lt;=U$7+6,$G25&gt;=U$7),"x","")</x:f>
      </x:c>
      <x:c r="V25" s="19" t="str">
        <x:f>IF(AND($E25&lt;=V$7+6,$G25&gt;=V$7),"x","")</x:f>
      </x:c>
      <x:c r="W25" s="19" t="str">
        <x:f>IF(AND($E25&lt;=W$7+6,$G25&gt;=W$7),"x","")</x:f>
      </x:c>
      <x:c r="X25" s="19" t="str">
        <x:f>IF(AND($E25&lt;=X$7+6,$G25&gt;=X$7),"x","")</x:f>
      </x:c>
      <x:c r="Y25" s="19" t="str">
        <x:f>IF(AND($E25&lt;=Y$7+6,$G25&gt;=Y$7),"x","")</x:f>
      </x:c>
    </x:row>
    <x:row r="26" ht="42" customHeight="1">
      <x:c r="A26" s="2" t="str">
        <x:v>P19</x:v>
      </x:c>
      <x:c r="B26" s="14" t="str">
        <x:v>Actualizar manuales, informe y evidencias</x:v>
      </x:c>
      <x:c r="C26" s="14" t="str">
        <x:v>Boris</x:v>
      </x:c>
      <x:c r="D26" s="14" t="str">
        <x:v>P17</x:v>
      </x:c>
      <x:c r="E26" s="15" t="d">
        <x:v>2026-12-07T12:00:00.000Z</x:v>
      </x:c>
      <x:c r="F26" s="16" t="n">
        <x:v>4</x:v>
      </x:c>
      <x:c r="G26" s="12" t="n">
        <x:f>WORKDAY(E26,F26-1,$B$38:$B$40)</x:f>
        <x:v>46367</x:v>
      </x:c>
      <x:c r="H26" s="16" t="n">
        <x:v>4</x:v>
      </x:c>
      <x:c r="I26" s="13" t="n">
        <x:f>F26*H26</x:f>
        <x:v>16</x:v>
      </x:c>
      <x:c r="J26" s="17" t="str">
        <x:v>Planificado</x:v>
      </x:c>
      <x:c r="K26" s="14" t="str">
        <x:v>CU-01 a CU-29</x:v>
      </x:c>
      <x:c r="L26" s="14" t="str">
        <x:v>Documentación con alcance real y pendientes</x:v>
      </x:c>
      <x:c r="M26" s="19" t="str">
        <x:f>IF(AND($E26&lt;=M$7+6,$G26&gt;=M$7),"x","")</x:f>
      </x:c>
      <x:c r="N26" s="19" t="str">
        <x:f>IF(AND($E26&lt;=N$7+6,$G26&gt;=N$7),"x","")</x:f>
      </x:c>
      <x:c r="O26" s="19" t="str">
        <x:f>IF(AND($E26&lt;=O$7+6,$G26&gt;=O$7),"x","")</x:f>
      </x:c>
      <x:c r="P26" s="19" t="str">
        <x:f>IF(AND($E26&lt;=P$7+6,$G26&gt;=P$7),"x","")</x:f>
      </x:c>
      <x:c r="Q26" s="19" t="str">
        <x:f>IF(AND($E26&lt;=Q$7+6,$G26&gt;=Q$7),"x","")</x:f>
      </x:c>
      <x:c r="R26" s="19" t="str">
        <x:f>IF(AND($E26&lt;=R$7+6,$G26&gt;=R$7),"x","")</x:f>
      </x:c>
      <x:c r="S26" s="19" t="str">
        <x:f>IF(AND($E26&lt;=S$7+6,$G26&gt;=S$7),"x","")</x:f>
      </x:c>
      <x:c r="T26" s="19" t="str">
        <x:f>IF(AND($E26&lt;=T$7+6,$G26&gt;=T$7),"x","")</x:f>
        <x:v>x</x:v>
      </x:c>
      <x:c r="U26" s="19" t="str">
        <x:f>IF(AND($E26&lt;=U$7+6,$G26&gt;=U$7),"x","")</x:f>
      </x:c>
      <x:c r="V26" s="19" t="str">
        <x:f>IF(AND($E26&lt;=V$7+6,$G26&gt;=V$7),"x","")</x:f>
      </x:c>
      <x:c r="W26" s="19" t="str">
        <x:f>IF(AND($E26&lt;=W$7+6,$G26&gt;=W$7),"x","")</x:f>
      </x:c>
      <x:c r="X26" s="19" t="str">
        <x:f>IF(AND($E26&lt;=X$7+6,$G26&gt;=X$7),"x","")</x:f>
      </x:c>
      <x:c r="Y26" s="19" t="str">
        <x:f>IF(AND($E26&lt;=Y$7+6,$G26&gt;=Y$7),"x","")</x:f>
      </x:c>
    </x:row>
    <x:row r="27" ht="42" customHeight="1">
      <x:c r="A27" s="2" t="str">
        <x:v>P20</x:v>
      </x:c>
      <x:c r="B27" s="14" t="str">
        <x:v>Verificar correo y avisos con proveedor real</x:v>
      </x:c>
      <x:c r="C27" s="14" t="str">
        <x:v>Fabián</x:v>
      </x:c>
      <x:c r="D27" s="14" t="str">
        <x:v>P18</x:v>
      </x:c>
      <x:c r="E27" s="15" t="d">
        <x:v>2026-12-09T12:00:00.000Z</x:v>
      </x:c>
      <x:c r="F27" s="16" t="n">
        <x:v>3</x:v>
      </x:c>
      <x:c r="G27" s="12" t="n">
        <x:f>WORKDAY(E27,F27-1,$B$38:$B$40)</x:f>
        <x:v>46367</x:v>
      </x:c>
      <x:c r="H27" s="16" t="n">
        <x:v>4</x:v>
      </x:c>
      <x:c r="I27" s="13" t="n">
        <x:f>F27*H27</x:f>
        <x:v>12</x:v>
      </x:c>
      <x:c r="J27" s="17" t="str">
        <x:v>Externo pendiente</x:v>
      </x:c>
      <x:c r="K27" s="14" t="str">
        <x:v>RF-18,RF-40</x:v>
      </x:c>
      <x:c r="L27" s="14" t="str">
        <x:v>Enrolamiento entregado, fallos y reintentos</x:v>
      </x:c>
      <x:c r="M27" s="19" t="str">
        <x:f>IF(AND($E27&lt;=M$7+6,$G27&gt;=M$7),"x","")</x:f>
      </x:c>
      <x:c r="N27" s="19" t="str">
        <x:f>IF(AND($E27&lt;=N$7+6,$G27&gt;=N$7),"x","")</x:f>
      </x:c>
      <x:c r="O27" s="19" t="str">
        <x:f>IF(AND($E27&lt;=O$7+6,$G27&gt;=O$7),"x","")</x:f>
      </x:c>
      <x:c r="P27" s="19" t="str">
        <x:f>IF(AND($E27&lt;=P$7+6,$G27&gt;=P$7),"x","")</x:f>
      </x:c>
      <x:c r="Q27" s="19" t="str">
        <x:f>IF(AND($E27&lt;=Q$7+6,$G27&gt;=Q$7),"x","")</x:f>
      </x:c>
      <x:c r="R27" s="19" t="str">
        <x:f>IF(AND($E27&lt;=R$7+6,$G27&gt;=R$7),"x","")</x:f>
      </x:c>
      <x:c r="S27" s="19" t="str">
        <x:f>IF(AND($E27&lt;=S$7+6,$G27&gt;=S$7),"x","")</x:f>
      </x:c>
      <x:c r="T27" s="19" t="str">
        <x:f>IF(AND($E27&lt;=T$7+6,$G27&gt;=T$7),"x","")</x:f>
        <x:v>x</x:v>
      </x:c>
      <x:c r="U27" s="19" t="str">
        <x:f>IF(AND($E27&lt;=U$7+6,$G27&gt;=U$7),"x","")</x:f>
      </x:c>
      <x:c r="V27" s="19" t="str">
        <x:f>IF(AND($E27&lt;=V$7+6,$G27&gt;=V$7),"x","")</x:f>
      </x:c>
      <x:c r="W27" s="19" t="str">
        <x:f>IF(AND($E27&lt;=W$7+6,$G27&gt;=W$7),"x","")</x:f>
      </x:c>
      <x:c r="X27" s="19" t="str">
        <x:f>IF(AND($E27&lt;=X$7+6,$G27&gt;=X$7),"x","")</x:f>
      </x:c>
      <x:c r="Y27" s="19" t="str">
        <x:f>IF(AND($E27&lt;=Y$7+6,$G27&gt;=Y$7),"x","")</x:f>
      </x:c>
    </x:row>
    <x:row r="28" ht="42" customHeight="1">
      <x:c r="A28" s="2" t="str">
        <x:v>P21</x:v>
      </x:c>
      <x:c r="B28" s="14" t="str">
        <x:v>Cerrar regresión y versión académica</x:v>
      </x:c>
      <x:c r="C28" s="14" t="str">
        <x:v>Fabián</x:v>
      </x:c>
      <x:c r="D28" s="14" t="str">
        <x:v>P06, P08, P10, P12, P14, P16, P18, P20</x:v>
      </x:c>
      <x:c r="E28" s="15" t="d">
        <x:v>2026-12-14T12:00:00.000Z</x:v>
      </x:c>
      <x:c r="F28" s="16" t="n">
        <x:v>2</x:v>
      </x:c>
      <x:c r="G28" s="12" t="n">
        <x:f>WORKDAY(E28,F28-1,$B$38:$B$40)</x:f>
        <x:v>46371</x:v>
      </x:c>
      <x:c r="H28" s="16" t="n">
        <x:v>4</x:v>
      </x:c>
      <x:c r="I28" s="13" t="n">
        <x:f>F28*H28</x:f>
        <x:v>8</x:v>
      </x:c>
      <x:c r="J28" s="17" t="str">
        <x:v>Planificado</x:v>
      </x:c>
      <x:c r="K28" s="14" t="str">
        <x:v>P0 y P1</x:v>
      </x:c>
      <x:c r="L28" s="14" t="str">
        <x:v>Sin defectos críticos y evidencia reproducible</x:v>
      </x:c>
      <x:c r="M28" s="19" t="str">
        <x:f>IF(AND($E28&lt;=M$7+6,$G28&gt;=M$7),"x","")</x:f>
      </x:c>
      <x:c r="N28" s="19" t="str">
        <x:f>IF(AND($E28&lt;=N$7+6,$G28&gt;=N$7),"x","")</x:f>
      </x:c>
      <x:c r="O28" s="19" t="str">
        <x:f>IF(AND($E28&lt;=O$7+6,$G28&gt;=O$7),"x","")</x:f>
      </x:c>
      <x:c r="P28" s="19" t="str">
        <x:f>IF(AND($E28&lt;=P$7+6,$G28&gt;=P$7),"x","")</x:f>
      </x:c>
      <x:c r="Q28" s="19" t="str">
        <x:f>IF(AND($E28&lt;=Q$7+6,$G28&gt;=Q$7),"x","")</x:f>
      </x:c>
      <x:c r="R28" s="19" t="str">
        <x:f>IF(AND($E28&lt;=R$7+6,$G28&gt;=R$7),"x","")</x:f>
      </x:c>
      <x:c r="S28" s="19" t="str">
        <x:f>IF(AND($E28&lt;=S$7+6,$G28&gt;=S$7),"x","")</x:f>
      </x:c>
      <x:c r="T28" s="19" t="str">
        <x:f>IF(AND($E28&lt;=T$7+6,$G28&gt;=T$7),"x","")</x:f>
      </x:c>
      <x:c r="U28" s="19" t="str">
        <x:f>IF(AND($E28&lt;=U$7+6,$G28&gt;=U$7),"x","")</x:f>
        <x:v>x</x:v>
      </x:c>
      <x:c r="V28" s="19" t="str">
        <x:f>IF(AND($E28&lt;=V$7+6,$G28&gt;=V$7),"x","")</x:f>
      </x:c>
      <x:c r="W28" s="19" t="str">
        <x:f>IF(AND($E28&lt;=W$7+6,$G28&gt;=W$7),"x","")</x:f>
      </x:c>
      <x:c r="X28" s="19" t="str">
        <x:f>IF(AND($E28&lt;=X$7+6,$G28&gt;=X$7),"x","")</x:f>
      </x:c>
      <x:c r="Y28" s="19" t="str">
        <x:f>IF(AND($E28&lt;=Y$7+6,$G28&gt;=Y$7),"x","")</x:f>
      </x:c>
    </x:row>
    <x:row r="29" ht="42" customHeight="1">
      <x:c r="A29" s="2" t="str">
        <x:v>P22</x:v>
      </x:c>
      <x:c r="B29" s="14" t="str">
        <x:v>Demostrar cadena y obtener revisión de uso</x:v>
      </x:c>
      <x:c r="C29" s="14" t="str">
        <x:v>Boris</x:v>
      </x:c>
      <x:c r="D29" s="14" t="str">
        <x:v>P15, P17, P19</x:v>
      </x:c>
      <x:c r="E29" s="15" t="d">
        <x:v>2026-12-14T12:00:00.000Z</x:v>
      </x:c>
      <x:c r="F29" s="16" t="n">
        <x:v>2</x:v>
      </x:c>
      <x:c r="G29" s="12" t="n">
        <x:f>WORKDAY(E29,F29-1,$B$38:$B$40)</x:f>
        <x:v>46371</x:v>
      </x:c>
      <x:c r="H29" s="16" t="n">
        <x:v>4</x:v>
      </x:c>
      <x:c r="I29" s="13" t="n">
        <x:f>F29*H29</x:f>
        <x:v>8</x:v>
      </x:c>
      <x:c r="J29" s="17" t="str">
        <x:v>Externo pendiente</x:v>
      </x:c>
      <x:c r="K29" s="14" t="str">
        <x:v>H2 académico</x:v>
      </x:c>
      <x:c r="L29" s="14" t="str">
        <x:v>Nodo real, mapa, evento y dato vencido</x:v>
      </x:c>
      <x:c r="M29" s="19" t="str">
        <x:f>IF(AND($E29&lt;=M$7+6,$G29&gt;=M$7),"x","")</x:f>
      </x:c>
      <x:c r="N29" s="19" t="str">
        <x:f>IF(AND($E29&lt;=N$7+6,$G29&gt;=N$7),"x","")</x:f>
      </x:c>
      <x:c r="O29" s="19" t="str">
        <x:f>IF(AND($E29&lt;=O$7+6,$G29&gt;=O$7),"x","")</x:f>
      </x:c>
      <x:c r="P29" s="19" t="str">
        <x:f>IF(AND($E29&lt;=P$7+6,$G29&gt;=P$7),"x","")</x:f>
      </x:c>
      <x:c r="Q29" s="19" t="str">
        <x:f>IF(AND($E29&lt;=Q$7+6,$G29&gt;=Q$7),"x","")</x:f>
      </x:c>
      <x:c r="R29" s="19" t="str">
        <x:f>IF(AND($E29&lt;=R$7+6,$G29&gt;=R$7),"x","")</x:f>
      </x:c>
      <x:c r="S29" s="19" t="str">
        <x:f>IF(AND($E29&lt;=S$7+6,$G29&gt;=S$7),"x","")</x:f>
      </x:c>
      <x:c r="T29" s="19" t="str">
        <x:f>IF(AND($E29&lt;=T$7+6,$G29&gt;=T$7),"x","")</x:f>
      </x:c>
      <x:c r="U29" s="19" t="str">
        <x:f>IF(AND($E29&lt;=U$7+6,$G29&gt;=U$7),"x","")</x:f>
        <x:v>x</x:v>
      </x:c>
      <x:c r="V29" s="19" t="str">
        <x:f>IF(AND($E29&lt;=V$7+6,$G29&gt;=V$7),"x","")</x:f>
      </x:c>
      <x:c r="W29" s="19" t="str">
        <x:f>IF(AND($E29&lt;=W$7+6,$G29&gt;=W$7),"x","")</x:f>
      </x:c>
      <x:c r="X29" s="19" t="str">
        <x:f>IF(AND($E29&lt;=X$7+6,$G29&gt;=X$7),"x","")</x:f>
      </x:c>
      <x:c r="Y29" s="19" t="str">
        <x:f>IF(AND($E29&lt;=Y$7+6,$G29&gt;=Y$7),"x","")</x:f>
      </x:c>
    </x:row>
    <x:row r="30" ht="42" customHeight="1">
      <x:c r="A30" s="2" t="str">
        <x:v>P23</x:v>
      </x:c>
      <x:c r="B30" s="14" t="str">
        <x:v>Medir preserie predial durante cuatro semanas</x:v>
      </x:c>
      <x:c r="C30" s="14" t="str">
        <x:v>Boris</x:v>
      </x:c>
      <x:c r="D30" s="14" t="str">
        <x:v>P07, P11, P15, P17, P21, P22</x:v>
      </x:c>
      <x:c r="E30" s="15" t="d">
        <x:v>2026-12-16T12:00:00.000Z</x:v>
      </x:c>
      <x:c r="F30" s="16" t="n">
        <x:v>18</x:v>
      </x:c>
      <x:c r="G30" s="12" t="n">
        <x:f>WORKDAY(E30,F30-1,$B$38:$B$40)</x:f>
        <x:v>46399</x:v>
      </x:c>
      <x:c r="H30" s="16" t="n">
        <x:v>3</x:v>
      </x:c>
      <x:c r="I30" s="13" t="n">
        <x:f>F30*H30</x:f>
        <x:v>54</x:v>
      </x:c>
      <x:c r="J30" s="17" t="str">
        <x:v>Externo condicionado</x:v>
      </x:c>
      <x:c r="K30" s="14" t="str">
        <x:v>K01,K02,K08,ME01,EN01</x:v>
      </x:c>
      <x:c r="L30" s="14" t="str">
        <x:v>Cobertura, autonomía, seguridad y productor</x:v>
      </x:c>
      <x:c r="M30" s="19" t="str">
        <x:f>IF(AND($E30&lt;=M$7+6,$G30&gt;=M$7),"x","")</x:f>
      </x:c>
      <x:c r="N30" s="19" t="str">
        <x:f>IF(AND($E30&lt;=N$7+6,$G30&gt;=N$7),"x","")</x:f>
      </x:c>
      <x:c r="O30" s="19" t="str">
        <x:f>IF(AND($E30&lt;=O$7+6,$G30&gt;=O$7),"x","")</x:f>
      </x:c>
      <x:c r="P30" s="19" t="str">
        <x:f>IF(AND($E30&lt;=P$7+6,$G30&gt;=P$7),"x","")</x:f>
      </x:c>
      <x:c r="Q30" s="19" t="str">
        <x:f>IF(AND($E30&lt;=Q$7+6,$G30&gt;=Q$7),"x","")</x:f>
      </x:c>
      <x:c r="R30" s="19" t="str">
        <x:f>IF(AND($E30&lt;=R$7+6,$G30&gt;=R$7),"x","")</x:f>
      </x:c>
      <x:c r="S30" s="19" t="str">
        <x:f>IF(AND($E30&lt;=S$7+6,$G30&gt;=S$7),"x","")</x:f>
      </x:c>
      <x:c r="T30" s="19" t="str">
        <x:f>IF(AND($E30&lt;=T$7+6,$G30&gt;=T$7),"x","")</x:f>
      </x:c>
      <x:c r="U30" s="19" t="str">
        <x:f>IF(AND($E30&lt;=U$7+6,$G30&gt;=U$7),"x","")</x:f>
        <x:v>x</x:v>
      </x:c>
      <x:c r="V30" s="19" t="str">
        <x:f>IF(AND($E30&lt;=V$7+6,$G30&gt;=V$7),"x","")</x:f>
        <x:v>x</x:v>
      </x:c>
      <x:c r="W30" s="19" t="str">
        <x:f>IF(AND($E30&lt;=W$7+6,$G30&gt;=W$7),"x","")</x:f>
        <x:v>x</x:v>
      </x:c>
      <x:c r="X30" s="19" t="str">
        <x:f>IF(AND($E30&lt;=X$7+6,$G30&gt;=X$7),"x","")</x:f>
        <x:v>x</x:v>
      </x:c>
      <x:c r="Y30" s="19" t="str">
        <x:f>IF(AND($E30&lt;=Y$7+6,$G30&gt;=Y$7),"x","")</x:f>
        <x:v>x</x:v>
      </x:c>
    </x:row>
    <x:row r="31" ht="42" customHeight="1">
      <x:c r="A31" s="2" t="str">
        <x:v>P24</x:v>
      </x:c>
      <x:c r="B31" s="14" t="str">
        <x:v>Medir continuidad y soporte de la preserie</x:v>
      </x:c>
      <x:c r="C31" s="14" t="str">
        <x:v>Fabián</x:v>
      </x:c>
      <x:c r="D31" s="14" t="str">
        <x:v>P21, P22</x:v>
      </x:c>
      <x:c r="E31" s="15" t="d">
        <x:v>2026-12-16T12:00:00.000Z</x:v>
      </x:c>
      <x:c r="F31" s="16" t="n">
        <x:v>18</x:v>
      </x:c>
      <x:c r="G31" s="12" t="n">
        <x:f>WORKDAY(E31,F31-1,$B$38:$B$40)</x:f>
        <x:v>46399</x:v>
      </x:c>
      <x:c r="H31" s="16" t="n">
        <x:v>2</x:v>
      </x:c>
      <x:c r="I31" s="13" t="n">
        <x:f>F31*H31</x:f>
        <x:v>36</x:v>
      </x:c>
      <x:c r="J31" s="17" t="str">
        <x:v>Externo condicionado</x:v>
      </x:c>
      <x:c r="K31" s="14" t="str">
        <x:v>RNF-11; RTO/RPO</x:v>
      </x:c>
      <x:c r="L31" s="14" t="str">
        <x:v>Monitor por minuto y ventana mínima de 7 días</x:v>
      </x:c>
      <x:c r="M31" s="19" t="str">
        <x:f>IF(AND($E31&lt;=M$7+6,$G31&gt;=M$7),"x","")</x:f>
      </x:c>
      <x:c r="N31" s="19" t="str">
        <x:f>IF(AND($E31&lt;=N$7+6,$G31&gt;=N$7),"x","")</x:f>
      </x:c>
      <x:c r="O31" s="19" t="str">
        <x:f>IF(AND($E31&lt;=O$7+6,$G31&gt;=O$7),"x","")</x:f>
      </x:c>
      <x:c r="P31" s="19" t="str">
        <x:f>IF(AND($E31&lt;=P$7+6,$G31&gt;=P$7),"x","")</x:f>
      </x:c>
      <x:c r="Q31" s="19" t="str">
        <x:f>IF(AND($E31&lt;=Q$7+6,$G31&gt;=Q$7),"x","")</x:f>
      </x:c>
      <x:c r="R31" s="19" t="str">
        <x:f>IF(AND($E31&lt;=R$7+6,$G31&gt;=R$7),"x","")</x:f>
      </x:c>
      <x:c r="S31" s="19" t="str">
        <x:f>IF(AND($E31&lt;=S$7+6,$G31&gt;=S$7),"x","")</x:f>
      </x:c>
      <x:c r="T31" s="19" t="str">
        <x:f>IF(AND($E31&lt;=T$7+6,$G31&gt;=T$7),"x","")</x:f>
      </x:c>
      <x:c r="U31" s="19" t="str">
        <x:f>IF(AND($E31&lt;=U$7+6,$G31&gt;=U$7),"x","")</x:f>
        <x:v>x</x:v>
      </x:c>
      <x:c r="V31" s="19" t="str">
        <x:f>IF(AND($E31&lt;=V$7+6,$G31&gt;=V$7),"x","")</x:f>
        <x:v>x</x:v>
      </x:c>
      <x:c r="W31" s="19" t="str">
        <x:f>IF(AND($E31&lt;=W$7+6,$G31&gt;=W$7),"x","")</x:f>
        <x:v>x</x:v>
      </x:c>
      <x:c r="X31" s="19" t="str">
        <x:f>IF(AND($E31&lt;=X$7+6,$G31&gt;=X$7),"x","")</x:f>
        <x:v>x</x:v>
      </x:c>
      <x:c r="Y31" s="19" t="str">
        <x:f>IF(AND($E31&lt;=Y$7+6,$G31&gt;=Y$7),"x","")</x:f>
        <x:v>x</x:v>
      </x:c>
    </x:row>
    <x:row r="32" ht="42" customHeight="1">
      <x:c r="A32" s="2" t="str">
        <x:v>P25</x:v>
      </x:c>
      <x:c r="B32" s="14" t="str">
        <x:v>Consolidar entrega documental académica</x:v>
      </x:c>
      <x:c r="C32" s="14" t="str">
        <x:v>Fabián</x:v>
      </x:c>
      <x:c r="D32" s="14" t="str">
        <x:v>P19, P21, P22</x:v>
      </x:c>
      <x:c r="E32" s="15" t="d">
        <x:v>2026-12-16T12:00:00.000Z</x:v>
      </x:c>
      <x:c r="F32" s="16" t="n">
        <x:v>3</x:v>
      </x:c>
      <x:c r="G32" s="12" t="n">
        <x:f>WORKDAY(E32,F32-1,$B$38:$B$40)</x:f>
        <x:v>46374</x:v>
      </x:c>
      <x:c r="H32" s="16" t="n">
        <x:v>2</x:v>
      </x:c>
      <x:c r="I32" s="13" t="n">
        <x:f>F32*H32</x:f>
        <x:v>6</x:v>
      </x:c>
      <x:c r="J32" s="17" t="str">
        <x:v>Planificado</x:v>
      </x:c>
      <x:c r="K32" s="14" t="str">
        <x:v>Informe y Gantt</x:v>
      </x:c>
      <x:c r="L32" s="14" t="str">
        <x:v>Acta académica separada del piloto de campo</x:v>
      </x:c>
      <x:c r="M32" s="19" t="str">
        <x:f>IF(AND($E32&lt;=M$7+6,$G32&gt;=M$7),"x","")</x:f>
      </x:c>
      <x:c r="N32" s="19" t="str">
        <x:f>IF(AND($E32&lt;=N$7+6,$G32&gt;=N$7),"x","")</x:f>
      </x:c>
      <x:c r="O32" s="19" t="str">
        <x:f>IF(AND($E32&lt;=O$7+6,$G32&gt;=O$7),"x","")</x:f>
      </x:c>
      <x:c r="P32" s="19" t="str">
        <x:f>IF(AND($E32&lt;=P$7+6,$G32&gt;=P$7),"x","")</x:f>
      </x:c>
      <x:c r="Q32" s="19" t="str">
        <x:f>IF(AND($E32&lt;=Q$7+6,$G32&gt;=Q$7),"x","")</x:f>
      </x:c>
      <x:c r="R32" s="19" t="str">
        <x:f>IF(AND($E32&lt;=R$7+6,$G32&gt;=R$7),"x","")</x:f>
      </x:c>
      <x:c r="S32" s="19" t="str">
        <x:f>IF(AND($E32&lt;=S$7+6,$G32&gt;=S$7),"x","")</x:f>
      </x:c>
      <x:c r="T32" s="19" t="str">
        <x:f>IF(AND($E32&lt;=T$7+6,$G32&gt;=T$7),"x","")</x:f>
      </x:c>
      <x:c r="U32" s="19" t="str">
        <x:f>IF(AND($E32&lt;=U$7+6,$G32&gt;=U$7),"x","")</x:f>
        <x:v>x</x:v>
      </x:c>
      <x:c r="V32" s="19" t="str">
        <x:f>IF(AND($E32&lt;=V$7+6,$G32&gt;=V$7),"x","")</x:f>
      </x:c>
      <x:c r="W32" s="19" t="str">
        <x:f>IF(AND($E32&lt;=W$7+6,$G32&gt;=W$7),"x","")</x:f>
      </x:c>
      <x:c r="X32" s="19" t="str">
        <x:f>IF(AND($E32&lt;=X$7+6,$G32&gt;=X$7),"x","")</x:f>
      </x:c>
      <x:c r="Y32" s="19" t="str">
        <x:f>IF(AND($E32&lt;=Y$7+6,$G32&gt;=Y$7),"x","")</x:f>
      </x:c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>
      <x:c r="A37" s="18" t="str">
        <x:v>Calendario no laborable propuesto</x:v>
      </x:c>
      <x:c r="B37" s="2"/>
      <x:c r="C37" s="2"/>
      <x:c r="D37" s="2" t="str">
        <x:v>Máximo planificado: 6 h/persona/día. No incluye dedicación completa del equipo.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>
      <x:c r="A38" s="2"/>
      <x:c r="B38" s="12" t="d">
        <x:v>2026-12-08T12:00:00.000Z</x:v>
      </x:c>
      <x:c r="C38" s="2"/>
      <x:c r="D38" s="2" t="str">
        <x:v>Hitos: cierre académico 18/12/2026; preserie condicionada hasta 12/01/2027.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>
      <x:c r="A39" s="2"/>
      <x:c r="B39" s="12" t="d">
        <x:v>2026-12-25T12:00:00.000Z</x:v>
      </x:c>
      <x:c r="C39" s="2"/>
      <x:c r="D39" s="2" t="str">
        <x:v>FMA e intercambio SIPEC: extensión P2 sin fecha ni implementación oficial comprometidas.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>
      <x:c r="A40" s="2"/>
      <x:c r="B40" s="12" t="d">
        <x:v>2027-01-01T12:00:00.000Z</x:v>
      </x:c>
      <x:c r="C40" s="2"/>
      <x:c r="D40" s="2" t="str">
        <x:v>Lote 70: solo después de preserie aceptada, presupuesto y decisión del productor.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>
      <x:c r="A43" s="18" t="str">
        <x:v>Fuentes del plan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>
      <x:c r="A44" s="2" t="str">
        <x:v>Informe de 04/10/2026: sección VII, tabla “Fase / Semanas / Dependencia y entrega / Responsable”.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>
      <x:c r="A45" s="2" t="str">
        <x:v>Especificación V3 de 20/10/2026: 29 CU, 44 RF y 22 RNF. Confirmación: veterinario directo.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>
      <x:c r="A46" s="2" t="str">
        <x:v>Plan revisable; no se dispone de fecha académica oficial ni de agenda de terreno confirmada.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>
      <x:c r="A48" s="18" t="str">
        <x:v>Esfuerzo planificado por responsable (h)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>
      <x:c r="A49" s="2" t="str">
        <x:v>Fabián</x:v>
      </x:c>
      <x:c r="B49" s="2" t="n">
        <x:f>SUMIFS(I8:I32,C8:C32,A49)</x:f>
        <x:v>200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>
      <x:c r="A50" s="2" t="str">
        <x:v>Boris</x:v>
      </x:c>
      <x:c r="B50" s="2" t="n">
        <x:f>SUMIFS(I8:I32,C8:C32,A50)</x:f>
        <x:v>210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</x:sheetData>
  <x:conditionalFormatting sqref="M8:Y32">
    <x:cfRule type="expression" dxfId="0" priority="1">
      <x:formula>AND(M$7&lt;=$G8,M$7+6&gt;=$E8)</x:formula>
    </x:cfRule>
  </x:conditionalFormatting>
  <x:dataValidations count="3">
    <x:dataValidation type="whole" operator="between" sqref="F8:F32">
      <x:formula1>1</x:formula1>
      <x:formula2>60</x:formula2>
    </x:dataValidation>
    <x:dataValidation type="whole" operator="between" sqref="H8:H32">
      <x:formula1>1</x:formula1>
      <x:formula2>6</x:formula2>
    </x:dataValidation>
    <x:dataValidation type="list" sqref="J8:J32">
      <x:formula1>"Documentado,En integración,Integrado local,Validado local,Planificado,Externo pendiente,Externo condicionado,Completado"</x:formula1>
    </x:dataValidation>
  </x:dataValidations>
  <x:pageMargins left="0.7" right="0.7" top="0.75" bottom="0.75" header="0.3" footer="0.3"/>
</x:worksheet>
</file>